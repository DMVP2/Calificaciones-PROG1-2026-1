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1561" documentId="11_7E4E55BF84DCCEE3ED7FF6F99031F45BFA722949" xr6:coauthVersionLast="47" xr6:coauthVersionMax="47" xr10:uidLastSave="{3D54E9BC-65AE-4A67-8EF0-0E17B0929AE9}"/>
  <bookViews>
    <workbookView xWindow="240" yWindow="105" windowWidth="14805" windowHeight="8010" firstSheet="3" activeTab="3" xr2:uid="{00000000-000D-0000-FFFF-FFFF00000000}"/>
  </bookViews>
  <sheets>
    <sheet name="Corte" sheetId="1" r:id="rId1"/>
    <sheet name="Corte 1" sheetId="2" r:id="rId2"/>
    <sheet name="Corte 2" sheetId="3" r:id="rId3"/>
    <sheet name="Corte 3" sheetId="4" r:id="rId4"/>
  </sheets>
  <definedNames>
    <definedName name="_xlnm._FilterDatabase" localSheetId="0" hidden="1">Corte!$A$7:$Y$7</definedName>
    <definedName name="_xlnm._FilterDatabase" localSheetId="1" hidden="1">'Corte 1'!$A$7:$Q$7</definedName>
    <definedName name="_xlnm._FilterDatabase" localSheetId="2" hidden="1">'Corte 2'!$A$7:$S$7</definedName>
    <definedName name="_xlnm._FilterDatabase" localSheetId="3" hidden="1">'Corte 3'!$A$7:$R$7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4" l="1"/>
  <c r="H28" i="4"/>
  <c r="I24" i="4"/>
  <c r="M24" i="4"/>
  <c r="O24" i="4"/>
  <c r="G24" i="4" s="1"/>
  <c r="P24" i="4"/>
  <c r="Q24" i="4"/>
  <c r="R24" i="4"/>
  <c r="I25" i="4"/>
  <c r="M25" i="4"/>
  <c r="O25" i="4"/>
  <c r="G25" i="4" s="1"/>
  <c r="P25" i="4"/>
  <c r="Q25" i="4"/>
  <c r="R25" i="4"/>
  <c r="M8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6" i="4"/>
  <c r="I27" i="4"/>
  <c r="I28" i="4"/>
  <c r="I29" i="4"/>
  <c r="I30" i="4"/>
  <c r="I31" i="4"/>
  <c r="I32" i="4"/>
  <c r="I33" i="4"/>
  <c r="I34" i="4"/>
  <c r="I35" i="4"/>
  <c r="I9" i="4"/>
  <c r="I8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6" i="4"/>
  <c r="M27" i="4"/>
  <c r="M28" i="4"/>
  <c r="M29" i="4"/>
  <c r="M30" i="4"/>
  <c r="M31" i="4"/>
  <c r="M32" i="4"/>
  <c r="M33" i="4"/>
  <c r="M34" i="4"/>
  <c r="M35" i="4"/>
  <c r="M9" i="4"/>
  <c r="O9" i="4"/>
  <c r="G9" i="4"/>
  <c r="P9" i="4" s="1"/>
  <c r="O35" i="4"/>
  <c r="G35" i="4"/>
  <c r="P35" i="4" s="1"/>
  <c r="O34" i="4"/>
  <c r="G34" i="4"/>
  <c r="P34" i="4" s="1"/>
  <c r="O33" i="4"/>
  <c r="G33" i="4"/>
  <c r="P33" i="4" s="1"/>
  <c r="O32" i="4"/>
  <c r="G32" i="4"/>
  <c r="P32" i="4" s="1"/>
  <c r="O31" i="4"/>
  <c r="G31" i="4"/>
  <c r="P31" i="4" s="1"/>
  <c r="O30" i="4"/>
  <c r="G30" i="4"/>
  <c r="P30" i="4" s="1"/>
  <c r="O29" i="4"/>
  <c r="G29" i="4"/>
  <c r="P29" i="4" s="1"/>
  <c r="O28" i="4"/>
  <c r="G28" i="4" s="1"/>
  <c r="O27" i="4"/>
  <c r="G27" i="4"/>
  <c r="P27" i="4" s="1"/>
  <c r="O26" i="4"/>
  <c r="G26" i="4"/>
  <c r="P26" i="4" s="1"/>
  <c r="O23" i="4"/>
  <c r="G23" i="4"/>
  <c r="P23" i="4" s="1"/>
  <c r="O22" i="4"/>
  <c r="G22" i="4"/>
  <c r="P22" i="4" s="1"/>
  <c r="O21" i="4"/>
  <c r="G21" i="4"/>
  <c r="P21" i="4" s="1"/>
  <c r="O20" i="4"/>
  <c r="G20" i="4"/>
  <c r="P20" i="4" s="1"/>
  <c r="O19" i="4"/>
  <c r="G19" i="4"/>
  <c r="P19" i="4" s="1"/>
  <c r="O18" i="4"/>
  <c r="G18" i="4"/>
  <c r="P18" i="4" s="1"/>
  <c r="O17" i="4"/>
  <c r="G17" i="4"/>
  <c r="P17" i="4" s="1"/>
  <c r="O16" i="4"/>
  <c r="G16" i="4"/>
  <c r="O15" i="4"/>
  <c r="G15" i="4"/>
  <c r="P15" i="4" s="1"/>
  <c r="O14" i="4"/>
  <c r="G14" i="4"/>
  <c r="P14" i="4" s="1"/>
  <c r="O13" i="4"/>
  <c r="G13" i="4"/>
  <c r="P13" i="4" s="1"/>
  <c r="O12" i="4"/>
  <c r="G12" i="4"/>
  <c r="O11" i="4"/>
  <c r="G11" i="4"/>
  <c r="P11" i="4" s="1"/>
  <c r="O10" i="4"/>
  <c r="G10" i="4"/>
  <c r="P10" i="4" s="1"/>
  <c r="O8" i="4"/>
  <c r="G8" i="4" s="1"/>
  <c r="P8" i="4" s="1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8" i="3"/>
  <c r="I8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9" i="3"/>
  <c r="O8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9" i="3"/>
  <c r="F9" i="3"/>
  <c r="P9" i="3" s="1"/>
  <c r="F35" i="3"/>
  <c r="P35" i="3" s="1"/>
  <c r="F34" i="3"/>
  <c r="P34" i="3" s="1"/>
  <c r="F33" i="3"/>
  <c r="P33" i="3" s="1"/>
  <c r="F32" i="3"/>
  <c r="P32" i="3" s="1"/>
  <c r="F31" i="3"/>
  <c r="P31" i="3" s="1"/>
  <c r="F30" i="3"/>
  <c r="P30" i="3" s="1"/>
  <c r="F29" i="3"/>
  <c r="P29" i="3" s="1"/>
  <c r="F28" i="3"/>
  <c r="P28" i="3" s="1"/>
  <c r="F27" i="3"/>
  <c r="P27" i="3" s="1"/>
  <c r="F26" i="3"/>
  <c r="P26" i="3" s="1"/>
  <c r="F25" i="3"/>
  <c r="P25" i="3" s="1"/>
  <c r="F24" i="3"/>
  <c r="P24" i="3" s="1"/>
  <c r="F23" i="3"/>
  <c r="P23" i="3" s="1"/>
  <c r="F22" i="3"/>
  <c r="P22" i="3" s="1"/>
  <c r="F21" i="3"/>
  <c r="P21" i="3" s="1"/>
  <c r="F20" i="3"/>
  <c r="P20" i="3" s="1"/>
  <c r="F19" i="3"/>
  <c r="P19" i="3" s="1"/>
  <c r="F18" i="3"/>
  <c r="P18" i="3" s="1"/>
  <c r="F17" i="3"/>
  <c r="F16" i="3"/>
  <c r="F15" i="3"/>
  <c r="F14" i="3"/>
  <c r="F13" i="3"/>
  <c r="F12" i="3"/>
  <c r="F11" i="3"/>
  <c r="F10" i="3"/>
  <c r="F8" i="3"/>
  <c r="P8" i="3" s="1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6" i="2"/>
  <c r="R27" i="2"/>
  <c r="R28" i="2"/>
  <c r="R29" i="2"/>
  <c r="R30" i="2"/>
  <c r="R31" i="2"/>
  <c r="R32" i="2"/>
  <c r="R33" i="2"/>
  <c r="R34" i="2"/>
  <c r="R35" i="2"/>
  <c r="R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8" i="2"/>
  <c r="F35" i="2"/>
  <c r="F8" i="2"/>
  <c r="V36" i="1"/>
  <c r="P36" i="1"/>
  <c r="N36" i="1"/>
  <c r="L36" i="1"/>
  <c r="F36" i="1"/>
  <c r="W36" i="1" s="1"/>
  <c r="F9" i="2"/>
  <c r="L9" i="2"/>
  <c r="L35" i="2"/>
  <c r="L34" i="2"/>
  <c r="F34" i="2"/>
  <c r="L33" i="2"/>
  <c r="F33" i="2"/>
  <c r="O33" i="2" s="1"/>
  <c r="L32" i="2"/>
  <c r="F32" i="2"/>
  <c r="L31" i="2"/>
  <c r="F31" i="2"/>
  <c r="L30" i="2"/>
  <c r="F30" i="2"/>
  <c r="L29" i="2"/>
  <c r="F29" i="2"/>
  <c r="L28" i="2"/>
  <c r="F28" i="2"/>
  <c r="L27" i="2"/>
  <c r="F27" i="2"/>
  <c r="L26" i="2"/>
  <c r="F26" i="2"/>
  <c r="L25" i="2"/>
  <c r="F25" i="2"/>
  <c r="L24" i="2"/>
  <c r="F24" i="2"/>
  <c r="L23" i="2"/>
  <c r="F23" i="2"/>
  <c r="L22" i="2"/>
  <c r="F22" i="2"/>
  <c r="L21" i="2"/>
  <c r="F21" i="2"/>
  <c r="O21" i="2" s="1"/>
  <c r="L20" i="2"/>
  <c r="F20" i="2"/>
  <c r="L19" i="2"/>
  <c r="F19" i="2"/>
  <c r="L18" i="2"/>
  <c r="F18" i="2"/>
  <c r="L17" i="2"/>
  <c r="F17" i="2"/>
  <c r="L16" i="2"/>
  <c r="F16" i="2"/>
  <c r="O16" i="2" s="1"/>
  <c r="L15" i="2"/>
  <c r="F15" i="2"/>
  <c r="L14" i="2"/>
  <c r="F14" i="2"/>
  <c r="L13" i="2"/>
  <c r="F13" i="2"/>
  <c r="O13" i="2" s="1"/>
  <c r="L12" i="2"/>
  <c r="F12" i="2"/>
  <c r="L11" i="2"/>
  <c r="F11" i="2"/>
  <c r="L10" i="2"/>
  <c r="F10" i="2"/>
  <c r="L8" i="2"/>
  <c r="F25" i="1"/>
  <c r="N25" i="1"/>
  <c r="P25" i="1"/>
  <c r="V25" i="1"/>
  <c r="L25" i="1" s="1"/>
  <c r="W25" i="1"/>
  <c r="X25" i="1"/>
  <c r="Y25" i="1"/>
  <c r="F35" i="1"/>
  <c r="N35" i="1"/>
  <c r="P35" i="1"/>
  <c r="V35" i="1"/>
  <c r="L35" i="1" s="1"/>
  <c r="W35" i="1"/>
  <c r="X35" i="1"/>
  <c r="Y35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6" i="1"/>
  <c r="N27" i="1"/>
  <c r="N28" i="1"/>
  <c r="N29" i="1"/>
  <c r="N30" i="1"/>
  <c r="N31" i="1"/>
  <c r="N32" i="1"/>
  <c r="N33" i="1"/>
  <c r="N34" i="1"/>
  <c r="N8" i="1"/>
  <c r="V34" i="1"/>
  <c r="L34" i="1" s="1"/>
  <c r="P34" i="1"/>
  <c r="F34" i="1"/>
  <c r="W34" i="1" s="1"/>
  <c r="V33" i="1"/>
  <c r="L33" i="1" s="1"/>
  <c r="P33" i="1"/>
  <c r="F33" i="1"/>
  <c r="W33" i="1" s="1"/>
  <c r="V32" i="1"/>
  <c r="L32" i="1" s="1"/>
  <c r="P32" i="1"/>
  <c r="F32" i="1"/>
  <c r="W32" i="1" s="1"/>
  <c r="V31" i="1"/>
  <c r="L31" i="1" s="1"/>
  <c r="P31" i="1"/>
  <c r="F31" i="1"/>
  <c r="W31" i="1" s="1"/>
  <c r="V30" i="1"/>
  <c r="L30" i="1" s="1"/>
  <c r="P30" i="1"/>
  <c r="F30" i="1"/>
  <c r="W30" i="1" s="1"/>
  <c r="V29" i="1"/>
  <c r="L29" i="1" s="1"/>
  <c r="P29" i="1"/>
  <c r="F29" i="1"/>
  <c r="W29" i="1" s="1"/>
  <c r="V28" i="1"/>
  <c r="L28" i="1" s="1"/>
  <c r="P28" i="1"/>
  <c r="F28" i="1"/>
  <c r="W28" i="1" s="1"/>
  <c r="V27" i="1"/>
  <c r="L27" i="1" s="1"/>
  <c r="P27" i="1"/>
  <c r="F27" i="1"/>
  <c r="W27" i="1" s="1"/>
  <c r="V26" i="1"/>
  <c r="L26" i="1" s="1"/>
  <c r="P26" i="1"/>
  <c r="F26" i="1"/>
  <c r="W26" i="1" s="1"/>
  <c r="V24" i="1"/>
  <c r="L24" i="1" s="1"/>
  <c r="P24" i="1"/>
  <c r="F24" i="1"/>
  <c r="W24" i="1" s="1"/>
  <c r="V23" i="1"/>
  <c r="L23" i="1" s="1"/>
  <c r="P23" i="1"/>
  <c r="F23" i="1"/>
  <c r="W23" i="1" s="1"/>
  <c r="V22" i="1"/>
  <c r="L22" i="1" s="1"/>
  <c r="P22" i="1"/>
  <c r="F22" i="1"/>
  <c r="W22" i="1" s="1"/>
  <c r="V21" i="1"/>
  <c r="L21" i="1" s="1"/>
  <c r="P21" i="1"/>
  <c r="F21" i="1"/>
  <c r="W21" i="1" s="1"/>
  <c r="V20" i="1"/>
  <c r="L20" i="1" s="1"/>
  <c r="P20" i="1"/>
  <c r="F20" i="1"/>
  <c r="W20" i="1" s="1"/>
  <c r="V19" i="1"/>
  <c r="L19" i="1" s="1"/>
  <c r="P19" i="1"/>
  <c r="F19" i="1"/>
  <c r="W19" i="1" s="1"/>
  <c r="V18" i="1"/>
  <c r="L18" i="1" s="1"/>
  <c r="P18" i="1"/>
  <c r="F18" i="1"/>
  <c r="W18" i="1" s="1"/>
  <c r="V17" i="1"/>
  <c r="L17" i="1" s="1"/>
  <c r="P17" i="1"/>
  <c r="F17" i="1"/>
  <c r="W17" i="1" s="1"/>
  <c r="V16" i="1"/>
  <c r="L16" i="1" s="1"/>
  <c r="P16" i="1"/>
  <c r="F16" i="1"/>
  <c r="W16" i="1" s="1"/>
  <c r="V15" i="1"/>
  <c r="L15" i="1" s="1"/>
  <c r="P15" i="1"/>
  <c r="F15" i="1"/>
  <c r="W15" i="1" s="1"/>
  <c r="V14" i="1"/>
  <c r="L14" i="1" s="1"/>
  <c r="P14" i="1"/>
  <c r="F14" i="1"/>
  <c r="W14" i="1" s="1"/>
  <c r="V13" i="1"/>
  <c r="L13" i="1" s="1"/>
  <c r="P13" i="1"/>
  <c r="F13" i="1"/>
  <c r="W13" i="1" s="1"/>
  <c r="V12" i="1"/>
  <c r="L12" i="1" s="1"/>
  <c r="P12" i="1"/>
  <c r="F12" i="1"/>
  <c r="W12" i="1" s="1"/>
  <c r="V11" i="1"/>
  <c r="L11" i="1" s="1"/>
  <c r="P11" i="1"/>
  <c r="F11" i="1"/>
  <c r="W11" i="1" s="1"/>
  <c r="V10" i="1"/>
  <c r="L10" i="1" s="1"/>
  <c r="P10" i="1"/>
  <c r="F10" i="1"/>
  <c r="W10" i="1" s="1"/>
  <c r="V9" i="1"/>
  <c r="L9" i="1" s="1"/>
  <c r="P9" i="1"/>
  <c r="F9" i="1"/>
  <c r="W9" i="1" s="1"/>
  <c r="V8" i="1"/>
  <c r="L8" i="1" s="1"/>
  <c r="P8" i="1"/>
  <c r="F8" i="1"/>
  <c r="W8" i="1" s="1"/>
  <c r="P16" i="4" l="1"/>
  <c r="P12" i="4"/>
  <c r="R8" i="4"/>
  <c r="Q8" i="4"/>
  <c r="R10" i="4"/>
  <c r="Q10" i="4"/>
  <c r="R11" i="4"/>
  <c r="Q11" i="4"/>
  <c r="R12" i="4"/>
  <c r="Q12" i="4"/>
  <c r="R13" i="4"/>
  <c r="Q13" i="4"/>
  <c r="R14" i="4"/>
  <c r="Q14" i="4"/>
  <c r="R15" i="4"/>
  <c r="Q15" i="4"/>
  <c r="R16" i="4"/>
  <c r="Q16" i="4"/>
  <c r="R17" i="4"/>
  <c r="Q17" i="4"/>
  <c r="R18" i="4"/>
  <c r="Q18" i="4"/>
  <c r="R19" i="4"/>
  <c r="Q19" i="4"/>
  <c r="R20" i="4"/>
  <c r="Q20" i="4"/>
  <c r="R21" i="4"/>
  <c r="Q21" i="4"/>
  <c r="R22" i="4"/>
  <c r="Q22" i="4"/>
  <c r="R23" i="4"/>
  <c r="Q23" i="4"/>
  <c r="R26" i="4"/>
  <c r="Q26" i="4"/>
  <c r="R27" i="4"/>
  <c r="Q27" i="4"/>
  <c r="R28" i="4"/>
  <c r="Q28" i="4"/>
  <c r="R29" i="4"/>
  <c r="Q29" i="4"/>
  <c r="R30" i="4"/>
  <c r="Q30" i="4"/>
  <c r="R31" i="4"/>
  <c r="Q31" i="4"/>
  <c r="R32" i="4"/>
  <c r="Q32" i="4"/>
  <c r="R33" i="4"/>
  <c r="Q33" i="4"/>
  <c r="R34" i="4"/>
  <c r="Q34" i="4"/>
  <c r="R35" i="4"/>
  <c r="Q35" i="4"/>
  <c r="R9" i="4"/>
  <c r="Q9" i="4"/>
  <c r="P17" i="3"/>
  <c r="P16" i="3"/>
  <c r="P15" i="3"/>
  <c r="P14" i="3"/>
  <c r="P13" i="3"/>
  <c r="P12" i="3"/>
  <c r="P11" i="3"/>
  <c r="P10" i="3"/>
  <c r="Q12" i="3"/>
  <c r="S12" i="3" s="1"/>
  <c r="R8" i="3"/>
  <c r="Q8" i="3"/>
  <c r="S8" i="3" s="1"/>
  <c r="R10" i="3"/>
  <c r="Q10" i="3"/>
  <c r="S10" i="3" s="1"/>
  <c r="R11" i="3"/>
  <c r="Q11" i="3"/>
  <c r="S11" i="3" s="1"/>
  <c r="R12" i="3"/>
  <c r="R13" i="3"/>
  <c r="Q13" i="3"/>
  <c r="S13" i="3" s="1"/>
  <c r="R14" i="3"/>
  <c r="Q14" i="3"/>
  <c r="S14" i="3" s="1"/>
  <c r="R15" i="3"/>
  <c r="Q15" i="3"/>
  <c r="S15" i="3" s="1"/>
  <c r="R16" i="3"/>
  <c r="Q16" i="3"/>
  <c r="S16" i="3" s="1"/>
  <c r="R17" i="3"/>
  <c r="Q17" i="3"/>
  <c r="S17" i="3" s="1"/>
  <c r="R18" i="3"/>
  <c r="Q18" i="3"/>
  <c r="S18" i="3" s="1"/>
  <c r="R19" i="3"/>
  <c r="Q19" i="3"/>
  <c r="S19" i="3" s="1"/>
  <c r="R20" i="3"/>
  <c r="Q20" i="3"/>
  <c r="S20" i="3" s="1"/>
  <c r="R21" i="3"/>
  <c r="Q21" i="3"/>
  <c r="S21" i="3" s="1"/>
  <c r="R22" i="3"/>
  <c r="Q22" i="3"/>
  <c r="S22" i="3" s="1"/>
  <c r="R23" i="3"/>
  <c r="Q23" i="3"/>
  <c r="S23" i="3" s="1"/>
  <c r="R24" i="3"/>
  <c r="Q24" i="3"/>
  <c r="S24" i="3" s="1"/>
  <c r="R25" i="3"/>
  <c r="Q25" i="3"/>
  <c r="S25" i="3" s="1"/>
  <c r="R26" i="3"/>
  <c r="Q26" i="3"/>
  <c r="S26" i="3" s="1"/>
  <c r="R27" i="3"/>
  <c r="Q27" i="3"/>
  <c r="S27" i="3" s="1"/>
  <c r="R28" i="3"/>
  <c r="Q28" i="3"/>
  <c r="S28" i="3" s="1"/>
  <c r="R29" i="3"/>
  <c r="Q29" i="3"/>
  <c r="S29" i="3" s="1"/>
  <c r="R30" i="3"/>
  <c r="Q30" i="3"/>
  <c r="S30" i="3" s="1"/>
  <c r="R31" i="3"/>
  <c r="Q31" i="3"/>
  <c r="S31" i="3" s="1"/>
  <c r="R32" i="3"/>
  <c r="Q32" i="3"/>
  <c r="S32" i="3" s="1"/>
  <c r="R33" i="3"/>
  <c r="Q33" i="3"/>
  <c r="S33" i="3" s="1"/>
  <c r="R34" i="3"/>
  <c r="Q34" i="3"/>
  <c r="S34" i="3" s="1"/>
  <c r="R35" i="3"/>
  <c r="Q35" i="3"/>
  <c r="S35" i="3" s="1"/>
  <c r="R9" i="3"/>
  <c r="Q9" i="3"/>
  <c r="S9" i="3" s="1"/>
  <c r="O8" i="2"/>
  <c r="O11" i="2"/>
  <c r="O14" i="2"/>
  <c r="O15" i="2"/>
  <c r="O17" i="2"/>
  <c r="O18" i="2"/>
  <c r="O19" i="2"/>
  <c r="O25" i="2"/>
  <c r="O28" i="2"/>
  <c r="O29" i="2"/>
  <c r="O30" i="2"/>
  <c r="O31" i="2"/>
  <c r="O35" i="2"/>
  <c r="O27" i="2"/>
  <c r="O34" i="2"/>
  <c r="O9" i="2"/>
  <c r="O20" i="2"/>
  <c r="O32" i="2"/>
  <c r="O12" i="2"/>
  <c r="O10" i="2"/>
  <c r="O26" i="2"/>
  <c r="O24" i="2"/>
  <c r="O22" i="2"/>
  <c r="O23" i="2"/>
  <c r="Y36" i="1"/>
  <c r="X36" i="1"/>
  <c r="Q8" i="2"/>
  <c r="P8" i="2"/>
  <c r="Q10" i="2"/>
  <c r="P10" i="2"/>
  <c r="Q11" i="2"/>
  <c r="P11" i="2"/>
  <c r="Q12" i="2"/>
  <c r="P12" i="2"/>
  <c r="Q13" i="2"/>
  <c r="P13" i="2"/>
  <c r="Q14" i="2"/>
  <c r="P14" i="2"/>
  <c r="Q15" i="2"/>
  <c r="P15" i="2"/>
  <c r="Q16" i="2"/>
  <c r="P16" i="2"/>
  <c r="Q17" i="2"/>
  <c r="P17" i="2"/>
  <c r="Q18" i="2"/>
  <c r="P18" i="2"/>
  <c r="Q19" i="2"/>
  <c r="P19" i="2"/>
  <c r="Q20" i="2"/>
  <c r="P20" i="2"/>
  <c r="Q21" i="2"/>
  <c r="P21" i="2"/>
  <c r="Q22" i="2"/>
  <c r="P22" i="2"/>
  <c r="Q23" i="2"/>
  <c r="P23" i="2"/>
  <c r="Q24" i="2"/>
  <c r="P24" i="2"/>
  <c r="Q25" i="2"/>
  <c r="P25" i="2"/>
  <c r="R25" i="2" s="1"/>
  <c r="Q26" i="2"/>
  <c r="P26" i="2"/>
  <c r="Q27" i="2"/>
  <c r="P27" i="2"/>
  <c r="Q28" i="2"/>
  <c r="P28" i="2"/>
  <c r="Q29" i="2"/>
  <c r="P29" i="2"/>
  <c r="Q30" i="2"/>
  <c r="P30" i="2"/>
  <c r="Q31" i="2"/>
  <c r="P31" i="2"/>
  <c r="Q32" i="2"/>
  <c r="P32" i="2"/>
  <c r="Q33" i="2"/>
  <c r="P33" i="2"/>
  <c r="Q34" i="2"/>
  <c r="P34" i="2"/>
  <c r="Q35" i="2"/>
  <c r="P35" i="2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Y10" i="1"/>
  <c r="X10" i="1"/>
  <c r="Y9" i="1"/>
  <c r="X9" i="1"/>
  <c r="Y8" i="1"/>
  <c r="X8" i="1"/>
  <c r="P9" i="2" l="1"/>
  <c r="Q9" i="2"/>
</calcChain>
</file>

<file path=xl/sharedStrings.xml><?xml version="1.0" encoding="utf-8"?>
<sst xmlns="http://schemas.openxmlformats.org/spreadsheetml/2006/main" count="321" uniqueCount="94">
  <si>
    <t>Asignatura</t>
  </si>
  <si>
    <t>Programación 1</t>
  </si>
  <si>
    <t>Semestre</t>
  </si>
  <si>
    <t>2026 - 1</t>
  </si>
  <si>
    <t>Grupo</t>
  </si>
  <si>
    <t>1M</t>
  </si>
  <si>
    <t>Docente</t>
  </si>
  <si>
    <t>David Mauricio Valoyes Porras</t>
  </si>
  <si>
    <t>Datos estudiante</t>
  </si>
  <si>
    <t>Quices</t>
  </si>
  <si>
    <t>Trabajos en clase, talleres y exposiciones</t>
  </si>
  <si>
    <t>Proyecto</t>
  </si>
  <si>
    <t>Parcial</t>
  </si>
  <si>
    <t>Puntos extra y bonos (0,1 cada uno)</t>
  </si>
  <si>
    <t>Total bonos</t>
  </si>
  <si>
    <t>Definitiva</t>
  </si>
  <si>
    <t>Nota a sala</t>
  </si>
  <si>
    <t>Para nota aprobatoria</t>
  </si>
  <si>
    <t>No° estudiante</t>
  </si>
  <si>
    <t>Nombre estudiante</t>
  </si>
  <si>
    <t>Quiz</t>
  </si>
  <si>
    <t>Taller</t>
  </si>
  <si>
    <t>Clase</t>
  </si>
  <si>
    <t>Exposición</t>
  </si>
  <si>
    <t>Actividad o razón</t>
  </si>
  <si>
    <t>1110045865 </t>
  </si>
  <si>
    <t>AGREDA AGUILAR JUAN CAMILO </t>
  </si>
  <si>
    <t>1033728892 </t>
  </si>
  <si>
    <t>ALAPE FAJARDO VALENTINA </t>
  </si>
  <si>
    <t>1028943852 </t>
  </si>
  <si>
    <t>AMARIS LERMA OSCAR ANDRÉS </t>
  </si>
  <si>
    <t>1065877365 </t>
  </si>
  <si>
    <t>AMAYA MEDINA JOAM </t>
  </si>
  <si>
    <t>1105469052 </t>
  </si>
  <si>
    <t>AMORTEGUI RENGIFO SAMUEL ALEJANDRO </t>
  </si>
  <si>
    <t>1019994420 </t>
  </si>
  <si>
    <t>BLANCO ZUÑIGA ALEJANDRO </t>
  </si>
  <si>
    <t>1028490365 </t>
  </si>
  <si>
    <t>CAMARGO AGUILAR MARIANA </t>
  </si>
  <si>
    <t>1140920297 </t>
  </si>
  <si>
    <t>CARDOSO VILLALBA DANIEL FELIPE </t>
  </si>
  <si>
    <t>1029144347 </t>
  </si>
  <si>
    <t>CASTILLO AHUMADA TOMAS </t>
  </si>
  <si>
    <t>1016951990 </t>
  </si>
  <si>
    <t>CASTRO CARRILLO SAMUEL ANDRES </t>
  </si>
  <si>
    <t>1016951247 </t>
  </si>
  <si>
    <t>CONCHA BUITRAGO MATEO </t>
  </si>
  <si>
    <t>1052000051 </t>
  </si>
  <si>
    <t>DAZA SABOGAL EDWARD ANDRES </t>
  </si>
  <si>
    <t>1014979627 </t>
  </si>
  <si>
    <t>GOMEZ RUBIO JUAN MANUEL </t>
  </si>
  <si>
    <t>1014667720 </t>
  </si>
  <si>
    <t>GONZALEZ SAAVEDRA JUAN SEBASTIAN </t>
  </si>
  <si>
    <t>1025541823 </t>
  </si>
  <si>
    <t>GUZMAN COY DAVID EMANUEL </t>
  </si>
  <si>
    <t>1121853237 </t>
  </si>
  <si>
    <t>LUGO CHAPARRO MIA VALENTINA </t>
  </si>
  <si>
    <t>1074416628 </t>
  </si>
  <si>
    <t>MARTIN MARTIN CRISTIAN ESNEIDER </t>
  </si>
  <si>
    <t xml:space="preserve">MEJIA PEREZ DANNA ISABELLA </t>
  </si>
  <si>
    <t>1014596726 </t>
  </si>
  <si>
    <t>MENDEZ QUIROGA LAURA DANIELA </t>
  </si>
  <si>
    <t>1052841329 </t>
  </si>
  <si>
    <t>MONTOYA PAREDES LUIS MIGUEL </t>
  </si>
  <si>
    <t>1048710695 </t>
  </si>
  <si>
    <t>MORALES MONTAÑEZ YANITH TATIANA </t>
  </si>
  <si>
    <t>1024516355 </t>
  </si>
  <si>
    <t>MORALES PUERTO KAROL XIMENA </t>
  </si>
  <si>
    <t>1031816309 </t>
  </si>
  <si>
    <t>MORENO PEÑUELA YOJHAN EDUARDO </t>
  </si>
  <si>
    <t>1010170388 </t>
  </si>
  <si>
    <t>OVALLE CASTAÑEDA JUAN ESTEBAN </t>
  </si>
  <si>
    <t>1031645465 </t>
  </si>
  <si>
    <t>PARRA MERCADO JUAN CAMILO </t>
  </si>
  <si>
    <t>1077725365 </t>
  </si>
  <si>
    <t>PERDOMO SALAZAR JUAN ESTEBAN </t>
  </si>
  <si>
    <t>1025142380 </t>
  </si>
  <si>
    <t>RODRIGUEZ BENAVIDES LUNA SOFIA </t>
  </si>
  <si>
    <t>1014865752 </t>
  </si>
  <si>
    <t>TORRES GOMEZ ANGELA MARIA </t>
  </si>
  <si>
    <t>AGREDO FERNANDEZ SARA CAMILA  </t>
  </si>
  <si>
    <t>Nota a sala con bono</t>
  </si>
  <si>
    <t>Tipos de datos y operadores</t>
  </si>
  <si>
    <t>Estructuras de control</t>
  </si>
  <si>
    <t>DataLab</t>
  </si>
  <si>
    <t>Bono (Día de las Matemáticas)</t>
  </si>
  <si>
    <t>OVALLE CASTAÑEDA LUCIA </t>
  </si>
  <si>
    <t>Funciones</t>
  </si>
  <si>
    <t>Vectores</t>
  </si>
  <si>
    <t>Taekwondo</t>
  </si>
  <si>
    <t>Autoevaluación</t>
  </si>
  <si>
    <t>Heteroevaluación</t>
  </si>
  <si>
    <t>Taller 7</t>
  </si>
  <si>
    <t>Taller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</si>
</sst>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864A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5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D8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workbookViewId="0"/>
  </sheetViews>
  <sheetFormatPr defaultRowHeight="15"/>
  <cols>
    <col min="4" max="4" width="28" customWidth="1"/>
    <col min="8" max="8" width="10.85546875" bestFit="1" customWidth="1"/>
    <col min="16" max="20" width="16.28515625" bestFit="1" customWidth="1"/>
    <col min="21" max="21" width="16.28515625" customWidth="1"/>
    <col min="23" max="23" width="11" bestFit="1" customWidth="1"/>
    <col min="24" max="24" width="32" bestFit="1" customWidth="1"/>
    <col min="25" max="25" width="20.5703125" bestFit="1" customWidth="1"/>
  </cols>
  <sheetData>
    <row r="1" spans="1:25">
      <c r="A1" s="28" t="s">
        <v>0</v>
      </c>
      <c r="B1" s="28"/>
      <c r="C1" s="34" t="s">
        <v>1</v>
      </c>
      <c r="D1" s="34"/>
      <c r="E1" s="34"/>
      <c r="F1" s="34"/>
      <c r="G1" s="34"/>
      <c r="H1" s="34"/>
      <c r="I1" s="34"/>
    </row>
    <row r="2" spans="1:25">
      <c r="A2" s="28" t="s">
        <v>2</v>
      </c>
      <c r="B2" s="28"/>
      <c r="C2" s="34" t="s">
        <v>3</v>
      </c>
      <c r="D2" s="34"/>
      <c r="E2" s="34"/>
      <c r="F2" s="34"/>
      <c r="G2" s="34"/>
      <c r="H2" s="34"/>
      <c r="I2" s="34"/>
    </row>
    <row r="3" spans="1:25">
      <c r="A3" s="36" t="s">
        <v>4</v>
      </c>
      <c r="B3" s="46"/>
      <c r="C3" s="43" t="s">
        <v>5</v>
      </c>
      <c r="D3" s="44"/>
      <c r="E3" s="44"/>
      <c r="F3" s="44"/>
      <c r="G3" s="44"/>
      <c r="H3" s="44"/>
      <c r="I3" s="45"/>
      <c r="P3" s="12"/>
      <c r="Q3" s="12"/>
      <c r="R3" s="12"/>
      <c r="S3" s="12"/>
      <c r="T3" s="12"/>
      <c r="U3" s="12"/>
    </row>
    <row r="4" spans="1:25">
      <c r="A4" s="28" t="s">
        <v>6</v>
      </c>
      <c r="B4" s="28"/>
      <c r="C4" s="34" t="s">
        <v>7</v>
      </c>
      <c r="D4" s="34"/>
      <c r="E4" s="34"/>
      <c r="F4" s="34"/>
      <c r="G4" s="34"/>
      <c r="H4" s="34"/>
      <c r="I4" s="34"/>
    </row>
    <row r="6" spans="1:25">
      <c r="A6" s="30" t="s">
        <v>8</v>
      </c>
      <c r="B6" s="30"/>
      <c r="C6" s="30"/>
      <c r="D6" s="30"/>
      <c r="E6" s="2" t="s">
        <v>9</v>
      </c>
      <c r="F6" s="4">
        <v>0.1</v>
      </c>
      <c r="G6" s="31" t="s">
        <v>10</v>
      </c>
      <c r="H6" s="41"/>
      <c r="I6" s="41"/>
      <c r="J6" s="41"/>
      <c r="K6" s="42"/>
      <c r="L6" s="3">
        <v>0.2</v>
      </c>
      <c r="M6" s="3" t="s">
        <v>11</v>
      </c>
      <c r="N6" s="3">
        <v>0.2</v>
      </c>
      <c r="O6" s="2" t="s">
        <v>12</v>
      </c>
      <c r="P6" s="4">
        <v>0.5</v>
      </c>
      <c r="Q6" s="38" t="s">
        <v>13</v>
      </c>
      <c r="R6" s="39"/>
      <c r="S6" s="39"/>
      <c r="T6" s="39"/>
      <c r="U6" s="40"/>
      <c r="V6" s="11" t="s">
        <v>14</v>
      </c>
      <c r="W6" s="7" t="s">
        <v>15</v>
      </c>
      <c r="X6" s="7" t="s">
        <v>16</v>
      </c>
      <c r="Y6" s="2" t="s">
        <v>17</v>
      </c>
    </row>
    <row r="7" spans="1:25">
      <c r="A7" s="32" t="s">
        <v>18</v>
      </c>
      <c r="B7" s="33"/>
      <c r="C7" s="32" t="s">
        <v>19</v>
      </c>
      <c r="D7" s="32"/>
      <c r="E7" s="8" t="s">
        <v>20</v>
      </c>
      <c r="F7" s="8"/>
      <c r="G7" s="8" t="s">
        <v>21</v>
      </c>
      <c r="H7" s="8" t="s">
        <v>22</v>
      </c>
      <c r="I7" s="8" t="s">
        <v>23</v>
      </c>
      <c r="J7" s="8" t="s">
        <v>21</v>
      </c>
      <c r="K7" s="8" t="s">
        <v>21</v>
      </c>
      <c r="L7" s="9"/>
      <c r="M7" s="9"/>
      <c r="N7" s="9"/>
      <c r="O7" s="8"/>
      <c r="P7" s="10"/>
      <c r="Q7" s="10" t="s">
        <v>24</v>
      </c>
      <c r="R7" s="10" t="s">
        <v>24</v>
      </c>
      <c r="S7" s="10" t="s">
        <v>24</v>
      </c>
      <c r="T7" s="10" t="s">
        <v>24</v>
      </c>
      <c r="U7" s="10" t="s">
        <v>24</v>
      </c>
      <c r="V7" s="10"/>
      <c r="W7" s="10"/>
      <c r="X7" s="10"/>
      <c r="Y7" s="8"/>
    </row>
    <row r="8" spans="1:25">
      <c r="A8" s="24" t="s">
        <v>25</v>
      </c>
      <c r="B8" s="25"/>
      <c r="C8" s="24" t="s">
        <v>26</v>
      </c>
      <c r="D8" s="25"/>
      <c r="E8" s="5"/>
      <c r="F8" s="1">
        <f>E8*0.1</f>
        <v>0</v>
      </c>
      <c r="G8" s="1"/>
      <c r="H8" s="1"/>
      <c r="I8" s="1"/>
      <c r="J8" s="1"/>
      <c r="K8" s="1"/>
      <c r="L8" s="5" t="e">
        <f>AVERAGE(G8:K8)*0.2+V8</f>
        <v>#DIV/0!</v>
      </c>
      <c r="M8" s="5"/>
      <c r="N8" s="5">
        <f>M8*0.2</f>
        <v>0</v>
      </c>
      <c r="O8" s="1"/>
      <c r="P8" s="6">
        <f>O8*0.5</f>
        <v>0</v>
      </c>
      <c r="Q8" s="6"/>
      <c r="R8" s="6"/>
      <c r="S8" s="6"/>
      <c r="T8" s="6"/>
      <c r="U8" s="6"/>
      <c r="V8" s="6">
        <f>(SUM(Q8:U8)/5)*0.3</f>
        <v>0</v>
      </c>
      <c r="W8" s="6" t="e">
        <f>F8+L8+N8+P8</f>
        <v>#DIV/0!</v>
      </c>
      <c r="X8" s="6" t="e">
        <f>INT(W8*10)/10+IF(MOD(W8*10,1)&gt;=0.5,0.1,0)</f>
        <v>#DIV/0!</v>
      </c>
      <c r="Y8" s="1" t="e">
        <f>IF(W8&lt;3,3-W8,"No aplica")</f>
        <v>#DIV/0!</v>
      </c>
    </row>
    <row r="9" spans="1:25">
      <c r="A9" s="24" t="s">
        <v>27</v>
      </c>
      <c r="B9" s="25"/>
      <c r="C9" s="24" t="s">
        <v>28</v>
      </c>
      <c r="D9" s="25"/>
      <c r="E9" s="5"/>
      <c r="F9" s="1">
        <f>E9*0.1</f>
        <v>0</v>
      </c>
      <c r="G9" s="1"/>
      <c r="H9" s="1"/>
      <c r="I9" s="1"/>
      <c r="J9" s="1"/>
      <c r="K9" s="1"/>
      <c r="L9" s="5" t="e">
        <f>AVERAGE(G9:K9)*0.2+V9</f>
        <v>#DIV/0!</v>
      </c>
      <c r="M9" s="5"/>
      <c r="N9" s="5">
        <f>M9*0.2</f>
        <v>0</v>
      </c>
      <c r="O9" s="1"/>
      <c r="P9" s="6">
        <f>O9*0.5</f>
        <v>0</v>
      </c>
      <c r="Q9" s="6"/>
      <c r="R9" s="6"/>
      <c r="S9" s="6"/>
      <c r="T9" s="6"/>
      <c r="U9" s="6"/>
      <c r="V9" s="6">
        <f>(SUM(Q9:U9)/5)*0.5</f>
        <v>0</v>
      </c>
      <c r="W9" s="6" t="e">
        <f>F9+L9+N9+P9</f>
        <v>#DIV/0!</v>
      </c>
      <c r="X9" s="6" t="e">
        <f>INT(W9*10)/10+IF(MOD(W9*10,1)&gt;=0.5,0.1,0)</f>
        <v>#DIV/0!</v>
      </c>
      <c r="Y9" s="1" t="e">
        <f>IF(W9&lt;3,3-W9,"No aplica")</f>
        <v>#DIV/0!</v>
      </c>
    </row>
    <row r="10" spans="1:25">
      <c r="A10" s="24" t="s">
        <v>29</v>
      </c>
      <c r="B10" s="25"/>
      <c r="C10" s="24" t="s">
        <v>30</v>
      </c>
      <c r="D10" s="25"/>
      <c r="E10" s="5"/>
      <c r="F10" s="1">
        <f>E10*0.1</f>
        <v>0</v>
      </c>
      <c r="G10" s="1"/>
      <c r="H10" s="1"/>
      <c r="I10" s="1"/>
      <c r="J10" s="1"/>
      <c r="K10" s="1"/>
      <c r="L10" s="5" t="e">
        <f>AVERAGE(G10:K10)*0.2+V10</f>
        <v>#DIV/0!</v>
      </c>
      <c r="M10" s="5"/>
      <c r="N10" s="5">
        <f>M10*0.2</f>
        <v>0</v>
      </c>
      <c r="O10" s="1"/>
      <c r="P10" s="6">
        <f>O10*0.5</f>
        <v>0</v>
      </c>
      <c r="Q10" s="6"/>
      <c r="R10" s="6"/>
      <c r="S10" s="6"/>
      <c r="T10" s="6"/>
      <c r="U10" s="6"/>
      <c r="V10" s="6">
        <f>(SUM(Q10:U10)/5)*0.5</f>
        <v>0</v>
      </c>
      <c r="W10" s="6" t="e">
        <f>F10+L10+N10+P10</f>
        <v>#DIV/0!</v>
      </c>
      <c r="X10" s="6" t="e">
        <f>INT(W10*10)/10+IF(MOD(W10*10,1)&gt;=0.5,0.1,0)</f>
        <v>#DIV/0!</v>
      </c>
      <c r="Y10" s="1" t="e">
        <f>IF(W10&lt;3,3-W10,"No aplica")</f>
        <v>#DIV/0!</v>
      </c>
    </row>
    <row r="11" spans="1:25">
      <c r="A11" s="24" t="s">
        <v>31</v>
      </c>
      <c r="B11" s="25"/>
      <c r="C11" s="24" t="s">
        <v>32</v>
      </c>
      <c r="D11" s="25"/>
      <c r="E11" s="5"/>
      <c r="F11" s="1">
        <f>E11*0.1</f>
        <v>0</v>
      </c>
      <c r="G11" s="1"/>
      <c r="H11" s="1"/>
      <c r="I11" s="1"/>
      <c r="J11" s="1"/>
      <c r="K11" s="1"/>
      <c r="L11" s="5" t="e">
        <f>AVERAGE(G11:K11)*0.2+V11</f>
        <v>#DIV/0!</v>
      </c>
      <c r="M11" s="5"/>
      <c r="N11" s="5">
        <f>M11*0.2</f>
        <v>0</v>
      </c>
      <c r="O11" s="1"/>
      <c r="P11" s="6">
        <f>O11*0.5</f>
        <v>0</v>
      </c>
      <c r="Q11" s="6"/>
      <c r="R11" s="6"/>
      <c r="S11" s="6"/>
      <c r="T11" s="6"/>
      <c r="U11" s="6"/>
      <c r="V11" s="6">
        <f>(SUM(Q11:U11)/5)*0.5</f>
        <v>0</v>
      </c>
      <c r="W11" s="6" t="e">
        <f>F11+L11+N11+P11</f>
        <v>#DIV/0!</v>
      </c>
      <c r="X11" s="6" t="e">
        <f>INT(W11*10)/10+IF(MOD(W11*10,1)&gt;=0.5,0.1,0)</f>
        <v>#DIV/0!</v>
      </c>
      <c r="Y11" s="1" t="e">
        <f>IF(W11&lt;3,3-W11,"No aplica")</f>
        <v>#DIV/0!</v>
      </c>
    </row>
    <row r="12" spans="1:25">
      <c r="A12" s="24" t="s">
        <v>33</v>
      </c>
      <c r="B12" s="25"/>
      <c r="C12" s="24" t="s">
        <v>34</v>
      </c>
      <c r="D12" s="25"/>
      <c r="E12" s="5"/>
      <c r="F12" s="1">
        <f>E12*0.1</f>
        <v>0</v>
      </c>
      <c r="G12" s="1"/>
      <c r="H12" s="1"/>
      <c r="I12" s="1"/>
      <c r="J12" s="1"/>
      <c r="K12" s="1"/>
      <c r="L12" s="5" t="e">
        <f>AVERAGE(G12:K12)*0.2+V12</f>
        <v>#DIV/0!</v>
      </c>
      <c r="M12" s="5"/>
      <c r="N12" s="5">
        <f>M12*0.2</f>
        <v>0</v>
      </c>
      <c r="O12" s="1"/>
      <c r="P12" s="6">
        <f>O12*0.5</f>
        <v>0</v>
      </c>
      <c r="Q12" s="6"/>
      <c r="R12" s="6"/>
      <c r="S12" s="6"/>
      <c r="T12" s="6"/>
      <c r="U12" s="6"/>
      <c r="V12" s="6">
        <f>(SUM(Q12:U12)/5)*0.5</f>
        <v>0</v>
      </c>
      <c r="W12" s="6" t="e">
        <f>F12+L12+N12+P12</f>
        <v>#DIV/0!</v>
      </c>
      <c r="X12" s="6" t="e">
        <f>INT(W12*10)/10+IF(MOD(W12*10,1)&gt;=0.5,0.1,0)</f>
        <v>#DIV/0!</v>
      </c>
      <c r="Y12" s="1" t="e">
        <f>IF(W12&lt;3,3-W12,"No aplica")</f>
        <v>#DIV/0!</v>
      </c>
    </row>
    <row r="13" spans="1:25">
      <c r="A13" s="24" t="s">
        <v>35</v>
      </c>
      <c r="B13" s="25"/>
      <c r="C13" s="24" t="s">
        <v>36</v>
      </c>
      <c r="D13" s="25"/>
      <c r="E13" s="5"/>
      <c r="F13" s="1">
        <f>E13*0.1</f>
        <v>0</v>
      </c>
      <c r="G13" s="1"/>
      <c r="H13" s="1"/>
      <c r="I13" s="1"/>
      <c r="J13" s="1"/>
      <c r="K13" s="1"/>
      <c r="L13" s="5" t="e">
        <f>AVERAGE(G13:K13)*0.2+V13</f>
        <v>#DIV/0!</v>
      </c>
      <c r="M13" s="5"/>
      <c r="N13" s="5">
        <f>M13*0.2</f>
        <v>0</v>
      </c>
      <c r="O13" s="1"/>
      <c r="P13" s="6">
        <f>O13*0.5</f>
        <v>0</v>
      </c>
      <c r="Q13" s="6"/>
      <c r="R13" s="6"/>
      <c r="S13" s="6"/>
      <c r="T13" s="6"/>
      <c r="U13" s="6"/>
      <c r="V13" s="6">
        <f>(SUM(Q13:U13)/5)*0.5</f>
        <v>0</v>
      </c>
      <c r="W13" s="6" t="e">
        <f>F13+L13+N13+P13</f>
        <v>#DIV/0!</v>
      </c>
      <c r="X13" s="6" t="e">
        <f>INT(W13*10)/10+IF(MOD(W13*10,1)&gt;=0.5,0.1,0)</f>
        <v>#DIV/0!</v>
      </c>
      <c r="Y13" s="1" t="e">
        <f>IF(W13&lt;3,3-W13,"No aplica")</f>
        <v>#DIV/0!</v>
      </c>
    </row>
    <row r="14" spans="1:25">
      <c r="A14" s="24" t="s">
        <v>37</v>
      </c>
      <c r="B14" s="25"/>
      <c r="C14" s="24" t="s">
        <v>38</v>
      </c>
      <c r="D14" s="25"/>
      <c r="E14" s="5"/>
      <c r="F14" s="1">
        <f>E14*0.1</f>
        <v>0</v>
      </c>
      <c r="G14" s="1"/>
      <c r="H14" s="1"/>
      <c r="I14" s="1"/>
      <c r="J14" s="1"/>
      <c r="K14" s="1"/>
      <c r="L14" s="5" t="e">
        <f>AVERAGE(G14:K14)*0.2+V14</f>
        <v>#DIV/0!</v>
      </c>
      <c r="M14" s="5"/>
      <c r="N14" s="5">
        <f>M14*0.2</f>
        <v>0</v>
      </c>
      <c r="O14" s="1"/>
      <c r="P14" s="6">
        <f>O14*0.5</f>
        <v>0</v>
      </c>
      <c r="Q14" s="6"/>
      <c r="R14" s="6"/>
      <c r="S14" s="6"/>
      <c r="T14" s="6"/>
      <c r="U14" s="6"/>
      <c r="V14" s="6">
        <f>(SUM(Q14:U14)/5)*0.5</f>
        <v>0</v>
      </c>
      <c r="W14" s="6" t="e">
        <f>F14+L14+N14+P14</f>
        <v>#DIV/0!</v>
      </c>
      <c r="X14" s="6" t="e">
        <f>INT(W14*10)/10+IF(MOD(W14*10,1)&gt;=0.5,0.1,0)</f>
        <v>#DIV/0!</v>
      </c>
      <c r="Y14" s="1" t="e">
        <f>IF(W14&lt;3,3-W14,"No aplica")</f>
        <v>#DIV/0!</v>
      </c>
    </row>
    <row r="15" spans="1:25">
      <c r="A15" s="24" t="s">
        <v>39</v>
      </c>
      <c r="B15" s="25"/>
      <c r="C15" s="24" t="s">
        <v>40</v>
      </c>
      <c r="D15" s="25"/>
      <c r="E15" s="5"/>
      <c r="F15" s="1">
        <f>E15*0.1</f>
        <v>0</v>
      </c>
      <c r="G15" s="1"/>
      <c r="H15" s="1"/>
      <c r="I15" s="1"/>
      <c r="J15" s="1"/>
      <c r="K15" s="1"/>
      <c r="L15" s="5" t="e">
        <f>AVERAGE(G15:K15)*0.2+V15</f>
        <v>#DIV/0!</v>
      </c>
      <c r="M15" s="5"/>
      <c r="N15" s="5">
        <f>M15*0.2</f>
        <v>0</v>
      </c>
      <c r="O15" s="1"/>
      <c r="P15" s="6">
        <f>O15*0.5</f>
        <v>0</v>
      </c>
      <c r="Q15" s="6"/>
      <c r="R15" s="6"/>
      <c r="S15" s="6"/>
      <c r="T15" s="6"/>
      <c r="U15" s="6"/>
      <c r="V15" s="6">
        <f>(SUM(Q15:U15)/5)*0.5</f>
        <v>0</v>
      </c>
      <c r="W15" s="6" t="e">
        <f>F15+L15+N15+P15</f>
        <v>#DIV/0!</v>
      </c>
      <c r="X15" s="6" t="e">
        <f>INT(W15*10)/10+IF(MOD(W15*10,1)&gt;=0.5,0.1,0)</f>
        <v>#DIV/0!</v>
      </c>
      <c r="Y15" s="1" t="e">
        <f>IF(W15&lt;3,3-W15,"No aplica")</f>
        <v>#DIV/0!</v>
      </c>
    </row>
    <row r="16" spans="1:25">
      <c r="A16" s="24" t="s">
        <v>41</v>
      </c>
      <c r="B16" s="25"/>
      <c r="C16" s="24" t="s">
        <v>42</v>
      </c>
      <c r="D16" s="25"/>
      <c r="E16" s="5"/>
      <c r="F16" s="1">
        <f>E16*0.1</f>
        <v>0</v>
      </c>
      <c r="G16" s="1"/>
      <c r="H16" s="1"/>
      <c r="I16" s="1"/>
      <c r="J16" s="1"/>
      <c r="K16" s="1"/>
      <c r="L16" s="5" t="e">
        <f>AVERAGE(G16:K16)*0.2+V16</f>
        <v>#DIV/0!</v>
      </c>
      <c r="M16" s="5"/>
      <c r="N16" s="5">
        <f>M16*0.2</f>
        <v>0</v>
      </c>
      <c r="O16" s="1"/>
      <c r="P16" s="6">
        <f>O16*0.5</f>
        <v>0</v>
      </c>
      <c r="Q16" s="6"/>
      <c r="R16" s="6"/>
      <c r="S16" s="6"/>
      <c r="T16" s="6"/>
      <c r="U16" s="6"/>
      <c r="V16" s="6">
        <f>(SUM(Q16:U16)/5)*0.5</f>
        <v>0</v>
      </c>
      <c r="W16" s="6" t="e">
        <f>F16+L16+N16+P16</f>
        <v>#DIV/0!</v>
      </c>
      <c r="X16" s="6" t="e">
        <f>INT(W16*10)/10+IF(MOD(W16*10,1)&gt;=0.5,0.1,0)</f>
        <v>#DIV/0!</v>
      </c>
      <c r="Y16" s="1" t="e">
        <f>IF(W16&lt;3,3-W16,"No aplica")</f>
        <v>#DIV/0!</v>
      </c>
    </row>
    <row r="17" spans="1:25">
      <c r="A17" s="24" t="s">
        <v>43</v>
      </c>
      <c r="B17" s="25"/>
      <c r="C17" s="24" t="s">
        <v>44</v>
      </c>
      <c r="D17" s="25"/>
      <c r="E17" s="5"/>
      <c r="F17" s="1">
        <f>E17*0.1</f>
        <v>0</v>
      </c>
      <c r="G17" s="1"/>
      <c r="H17" s="1"/>
      <c r="I17" s="1"/>
      <c r="J17" s="1"/>
      <c r="K17" s="1"/>
      <c r="L17" s="5" t="e">
        <f>AVERAGE(G17:K17)*0.2+V17</f>
        <v>#DIV/0!</v>
      </c>
      <c r="M17" s="5"/>
      <c r="N17" s="5">
        <f>M17*0.2</f>
        <v>0</v>
      </c>
      <c r="O17" s="1"/>
      <c r="P17" s="6">
        <f>O17*0.5</f>
        <v>0</v>
      </c>
      <c r="Q17" s="6"/>
      <c r="R17" s="6"/>
      <c r="S17" s="6"/>
      <c r="T17" s="6"/>
      <c r="U17" s="6"/>
      <c r="V17" s="6">
        <f>(SUM(Q17:U17)/5)*0.5</f>
        <v>0</v>
      </c>
      <c r="W17" s="6" t="e">
        <f>F17+L17+N17+P17</f>
        <v>#DIV/0!</v>
      </c>
      <c r="X17" s="6" t="e">
        <f>INT(W17*10)/10+IF(MOD(W17*10,1)&gt;=0.5,0.1,0)</f>
        <v>#DIV/0!</v>
      </c>
      <c r="Y17" s="1" t="e">
        <f>IF(W17&lt;3,3-W17,"No aplica")</f>
        <v>#DIV/0!</v>
      </c>
    </row>
    <row r="18" spans="1:25">
      <c r="A18" s="24" t="s">
        <v>45</v>
      </c>
      <c r="B18" s="25"/>
      <c r="C18" s="24" t="s">
        <v>46</v>
      </c>
      <c r="D18" s="25"/>
      <c r="E18" s="5"/>
      <c r="F18" s="1">
        <f>E18*0.1</f>
        <v>0</v>
      </c>
      <c r="G18" s="1"/>
      <c r="H18" s="1"/>
      <c r="I18" s="1"/>
      <c r="J18" s="1"/>
      <c r="K18" s="1"/>
      <c r="L18" s="5" t="e">
        <f>AVERAGE(G18:K18)*0.2+V18</f>
        <v>#DIV/0!</v>
      </c>
      <c r="M18" s="5"/>
      <c r="N18" s="5">
        <f>M18*0.2</f>
        <v>0</v>
      </c>
      <c r="O18" s="1"/>
      <c r="P18" s="6">
        <f>O18*0.5</f>
        <v>0</v>
      </c>
      <c r="Q18" s="6"/>
      <c r="R18" s="6"/>
      <c r="S18" s="6"/>
      <c r="T18" s="6"/>
      <c r="U18" s="6"/>
      <c r="V18" s="6">
        <f>(SUM(Q18:U18)/5)*0.5</f>
        <v>0</v>
      </c>
      <c r="W18" s="6" t="e">
        <f>F18+L18+N18+P18</f>
        <v>#DIV/0!</v>
      </c>
      <c r="X18" s="6" t="e">
        <f>INT(W18*10)/10+IF(MOD(W18*10,1)&gt;=0.5,0.1,0)</f>
        <v>#DIV/0!</v>
      </c>
      <c r="Y18" s="1" t="e">
        <f>IF(W18&lt;3,3-W18,"No aplica")</f>
        <v>#DIV/0!</v>
      </c>
    </row>
    <row r="19" spans="1:25">
      <c r="A19" s="24" t="s">
        <v>47</v>
      </c>
      <c r="B19" s="25"/>
      <c r="C19" s="24" t="s">
        <v>48</v>
      </c>
      <c r="D19" s="25"/>
      <c r="E19" s="5"/>
      <c r="F19" s="1">
        <f>E19*0.1</f>
        <v>0</v>
      </c>
      <c r="G19" s="1"/>
      <c r="H19" s="1"/>
      <c r="I19" s="1"/>
      <c r="J19" s="1"/>
      <c r="K19" s="1"/>
      <c r="L19" s="5" t="e">
        <f>AVERAGE(G19:K19)*0.2+V19</f>
        <v>#DIV/0!</v>
      </c>
      <c r="M19" s="5"/>
      <c r="N19" s="5">
        <f>M19*0.2</f>
        <v>0</v>
      </c>
      <c r="O19" s="1"/>
      <c r="P19" s="6">
        <f>O19*0.5</f>
        <v>0</v>
      </c>
      <c r="Q19" s="6"/>
      <c r="R19" s="6"/>
      <c r="S19" s="6"/>
      <c r="T19" s="6"/>
      <c r="U19" s="6"/>
      <c r="V19" s="6">
        <f>(SUM(Q19:U19)/5)*0.5</f>
        <v>0</v>
      </c>
      <c r="W19" s="6" t="e">
        <f>F19+L19+N19+P19</f>
        <v>#DIV/0!</v>
      </c>
      <c r="X19" s="6" t="e">
        <f>INT(W19*10)/10+IF(MOD(W19*10,1)&gt;=0.5,0.1,0)</f>
        <v>#DIV/0!</v>
      </c>
      <c r="Y19" s="1" t="e">
        <f>IF(W19&lt;3,3-W19,"No aplica")</f>
        <v>#DIV/0!</v>
      </c>
    </row>
    <row r="20" spans="1:25">
      <c r="A20" s="24" t="s">
        <v>49</v>
      </c>
      <c r="B20" s="25"/>
      <c r="C20" s="24" t="s">
        <v>50</v>
      </c>
      <c r="D20" s="25"/>
      <c r="E20" s="5"/>
      <c r="F20" s="1">
        <f>E20*0.1</f>
        <v>0</v>
      </c>
      <c r="G20" s="1"/>
      <c r="H20" s="1"/>
      <c r="I20" s="1"/>
      <c r="J20" s="1"/>
      <c r="K20" s="1"/>
      <c r="L20" s="5" t="e">
        <f>AVERAGE(G20:K20)*0.2+V20</f>
        <v>#DIV/0!</v>
      </c>
      <c r="M20" s="5"/>
      <c r="N20" s="5">
        <f>M20*0.2</f>
        <v>0</v>
      </c>
      <c r="O20" s="1"/>
      <c r="P20" s="6">
        <f>O20*0.5</f>
        <v>0</v>
      </c>
      <c r="Q20" s="6"/>
      <c r="R20" s="6"/>
      <c r="S20" s="6"/>
      <c r="T20" s="6"/>
      <c r="U20" s="6"/>
      <c r="V20" s="6">
        <f>(SUM(Q20:U20)/5)*0.5</f>
        <v>0</v>
      </c>
      <c r="W20" s="6" t="e">
        <f>F20+L20+N20+P20</f>
        <v>#DIV/0!</v>
      </c>
      <c r="X20" s="6" t="e">
        <f>INT(W20*10)/10+IF(MOD(W20*10,1)&gt;=0.5,0.1,0)</f>
        <v>#DIV/0!</v>
      </c>
      <c r="Y20" s="1" t="e">
        <f>IF(W20&lt;3,3-W20,"No aplica")</f>
        <v>#DIV/0!</v>
      </c>
    </row>
    <row r="21" spans="1:25">
      <c r="A21" s="24" t="s">
        <v>51</v>
      </c>
      <c r="B21" s="25"/>
      <c r="C21" s="24" t="s">
        <v>52</v>
      </c>
      <c r="D21" s="25"/>
      <c r="E21" s="5"/>
      <c r="F21" s="1">
        <f>E21*0.1</f>
        <v>0</v>
      </c>
      <c r="G21" s="1"/>
      <c r="H21" s="1"/>
      <c r="I21" s="1"/>
      <c r="J21" s="1"/>
      <c r="K21" s="1"/>
      <c r="L21" s="5" t="e">
        <f>AVERAGE(G21:K21)*0.2+V21</f>
        <v>#DIV/0!</v>
      </c>
      <c r="M21" s="5"/>
      <c r="N21" s="5">
        <f>M21*0.2</f>
        <v>0</v>
      </c>
      <c r="O21" s="1"/>
      <c r="P21" s="6">
        <f>O21*0.5</f>
        <v>0</v>
      </c>
      <c r="Q21" s="6"/>
      <c r="R21" s="6"/>
      <c r="S21" s="6"/>
      <c r="T21" s="6"/>
      <c r="U21" s="6"/>
      <c r="V21" s="6">
        <f>(SUM(Q21:U21)/5)*0.5</f>
        <v>0</v>
      </c>
      <c r="W21" s="6" t="e">
        <f>F21+L21+N21+P21</f>
        <v>#DIV/0!</v>
      </c>
      <c r="X21" s="6" t="e">
        <f>INT(W21*10)/10+IF(MOD(W21*10,1)&gt;=0.5,0.1,0)</f>
        <v>#DIV/0!</v>
      </c>
      <c r="Y21" s="1" t="e">
        <f>IF(W21&lt;3,3-W21,"No aplica")</f>
        <v>#DIV/0!</v>
      </c>
    </row>
    <row r="22" spans="1:25">
      <c r="A22" s="24" t="s">
        <v>53</v>
      </c>
      <c r="B22" s="25"/>
      <c r="C22" s="24" t="s">
        <v>54</v>
      </c>
      <c r="D22" s="25"/>
      <c r="E22" s="5"/>
      <c r="F22" s="1">
        <f>E22*0.1</f>
        <v>0</v>
      </c>
      <c r="G22" s="1"/>
      <c r="H22" s="1"/>
      <c r="I22" s="1"/>
      <c r="J22" s="1"/>
      <c r="K22" s="1"/>
      <c r="L22" s="5" t="e">
        <f>AVERAGE(G22:K22)*0.2+V22</f>
        <v>#DIV/0!</v>
      </c>
      <c r="M22" s="5"/>
      <c r="N22" s="5">
        <f>M22*0.2</f>
        <v>0</v>
      </c>
      <c r="O22" s="1"/>
      <c r="P22" s="6">
        <f>O22*0.5</f>
        <v>0</v>
      </c>
      <c r="Q22" s="6"/>
      <c r="R22" s="6"/>
      <c r="S22" s="6"/>
      <c r="T22" s="6"/>
      <c r="U22" s="6"/>
      <c r="V22" s="6">
        <f>(SUM(Q22:U22)/5)*0.5</f>
        <v>0</v>
      </c>
      <c r="W22" s="6" t="e">
        <f>F22+L22+N22+P22</f>
        <v>#DIV/0!</v>
      </c>
      <c r="X22" s="6" t="e">
        <f>INT(W22*10)/10+IF(MOD(W22*10,1)&gt;=0.5,0.1,0)</f>
        <v>#DIV/0!</v>
      </c>
      <c r="Y22" s="1" t="e">
        <f>IF(W22&lt;3,3-W22,"No aplica")</f>
        <v>#DIV/0!</v>
      </c>
    </row>
    <row r="23" spans="1:25">
      <c r="A23" s="24" t="s">
        <v>55</v>
      </c>
      <c r="B23" s="25"/>
      <c r="C23" s="24" t="s">
        <v>56</v>
      </c>
      <c r="D23" s="25"/>
      <c r="E23" s="5"/>
      <c r="F23" s="1">
        <f>E23*0.1</f>
        <v>0</v>
      </c>
      <c r="G23" s="1"/>
      <c r="H23" s="1"/>
      <c r="I23" s="1"/>
      <c r="J23" s="1"/>
      <c r="K23" s="1"/>
      <c r="L23" s="5" t="e">
        <f>AVERAGE(G23:K23)*0.2+V23</f>
        <v>#DIV/0!</v>
      </c>
      <c r="M23" s="5"/>
      <c r="N23" s="5">
        <f>M23*0.2</f>
        <v>0</v>
      </c>
      <c r="O23" s="1"/>
      <c r="P23" s="6">
        <f>O23*0.5</f>
        <v>0</v>
      </c>
      <c r="Q23" s="6"/>
      <c r="R23" s="6"/>
      <c r="S23" s="6"/>
      <c r="T23" s="6"/>
      <c r="U23" s="6"/>
      <c r="V23" s="6">
        <f>(SUM(Q23:U23)/5)*0.5</f>
        <v>0</v>
      </c>
      <c r="W23" s="6" t="e">
        <f>F23+L23+N23+P23</f>
        <v>#DIV/0!</v>
      </c>
      <c r="X23" s="6" t="e">
        <f>INT(W23*10)/10+IF(MOD(W23*10,1)&gt;=0.5,0.1,0)</f>
        <v>#DIV/0!</v>
      </c>
      <c r="Y23" s="1" t="e">
        <f>IF(W23&lt;3,3-W23,"No aplica")</f>
        <v>#DIV/0!</v>
      </c>
    </row>
    <row r="24" spans="1:25">
      <c r="A24" s="47" t="s">
        <v>57</v>
      </c>
      <c r="B24" s="48"/>
      <c r="C24" s="47" t="s">
        <v>58</v>
      </c>
      <c r="D24" s="48"/>
      <c r="E24" s="16"/>
      <c r="F24" s="17">
        <f>E24*0.1</f>
        <v>0</v>
      </c>
      <c r="G24" s="17"/>
      <c r="H24" s="17"/>
      <c r="I24" s="17"/>
      <c r="J24" s="17"/>
      <c r="K24" s="17"/>
      <c r="L24" s="16" t="e">
        <f>AVERAGE(G24:K24)*0.2+V24</f>
        <v>#DIV/0!</v>
      </c>
      <c r="M24" s="16"/>
      <c r="N24" s="16">
        <f>M24*0.2</f>
        <v>0</v>
      </c>
      <c r="O24" s="17"/>
      <c r="P24" s="18">
        <f>O24*0.5</f>
        <v>0</v>
      </c>
      <c r="Q24" s="18"/>
      <c r="R24" s="18"/>
      <c r="S24" s="18"/>
      <c r="T24" s="18"/>
      <c r="U24" s="18"/>
      <c r="V24" s="18">
        <f>(SUM(Q24:U24)/5)*0.5</f>
        <v>0</v>
      </c>
      <c r="W24" s="18" t="e">
        <f>F24+L24+N24+P24</f>
        <v>#DIV/0!</v>
      </c>
      <c r="X24" s="18" t="e">
        <f>INT(W24*10)/10+IF(MOD(W24*10,1)&gt;=0.5,0.1,0)</f>
        <v>#DIV/0!</v>
      </c>
      <c r="Y24" s="17" t="e">
        <f>IF(W24&lt;3,3-W24,"No aplica")</f>
        <v>#DIV/0!</v>
      </c>
    </row>
    <row r="25" spans="1:25">
      <c r="A25" s="24">
        <v>1141330236</v>
      </c>
      <c r="B25" s="25"/>
      <c r="C25" s="24" t="s">
        <v>59</v>
      </c>
      <c r="D25" s="25"/>
      <c r="E25" s="5"/>
      <c r="F25" s="1">
        <f>E25*0.1</f>
        <v>0</v>
      </c>
      <c r="G25" s="1"/>
      <c r="H25" s="1"/>
      <c r="I25" s="1"/>
      <c r="J25" s="1"/>
      <c r="K25" s="1"/>
      <c r="L25" s="5" t="e">
        <f>AVERAGE(G25:K25)*0.2+V25</f>
        <v>#DIV/0!</v>
      </c>
      <c r="M25" s="5"/>
      <c r="N25" s="5">
        <f>M25*0.2</f>
        <v>0</v>
      </c>
      <c r="O25" s="1"/>
      <c r="P25" s="6">
        <f>O25*0.5</f>
        <v>0</v>
      </c>
      <c r="Q25" s="6"/>
      <c r="R25" s="6"/>
      <c r="S25" s="6"/>
      <c r="T25" s="6"/>
      <c r="U25" s="6"/>
      <c r="V25" s="6">
        <f>(SUM(Q25:U25)/5)*0.5</f>
        <v>0</v>
      </c>
      <c r="W25" s="6" t="e">
        <f>F25+L25+N25+P25</f>
        <v>#DIV/0!</v>
      </c>
      <c r="X25" s="6" t="e">
        <f>INT(W25*10)/10+IF(MOD(W25*10,1)&gt;=0.5,0.1,0)</f>
        <v>#DIV/0!</v>
      </c>
      <c r="Y25" s="1" t="e">
        <f>IF(W25&lt;3,3-W25,"No aplica")</f>
        <v>#DIV/0!</v>
      </c>
    </row>
    <row r="26" spans="1:25">
      <c r="A26" s="24" t="s">
        <v>60</v>
      </c>
      <c r="B26" s="25"/>
      <c r="C26" s="24" t="s">
        <v>61</v>
      </c>
      <c r="D26" s="25"/>
      <c r="E26" s="5"/>
      <c r="F26" s="1">
        <f>E26*0.1</f>
        <v>0</v>
      </c>
      <c r="G26" s="1"/>
      <c r="H26" s="1"/>
      <c r="I26" s="1"/>
      <c r="J26" s="1"/>
      <c r="K26" s="1"/>
      <c r="L26" s="5" t="e">
        <f>AVERAGE(G26:K26)*0.2+V26</f>
        <v>#DIV/0!</v>
      </c>
      <c r="M26" s="5"/>
      <c r="N26" s="5">
        <f>M26*0.2</f>
        <v>0</v>
      </c>
      <c r="O26" s="1"/>
      <c r="P26" s="6">
        <f>O26*0.5</f>
        <v>0</v>
      </c>
      <c r="Q26" s="6"/>
      <c r="R26" s="6"/>
      <c r="S26" s="6"/>
      <c r="T26" s="6"/>
      <c r="U26" s="6"/>
      <c r="V26" s="6">
        <f>(SUM(Q26:U26)/5)*0.5</f>
        <v>0</v>
      </c>
      <c r="W26" s="6" t="e">
        <f>F26+L26+N26+P26</f>
        <v>#DIV/0!</v>
      </c>
      <c r="X26" s="6" t="e">
        <f>INT(W26*10)/10+IF(MOD(W26*10,1)&gt;=0.5,0.1,0)</f>
        <v>#DIV/0!</v>
      </c>
      <c r="Y26" s="1" t="e">
        <f>IF(W26&lt;3,3-W26,"No aplica")</f>
        <v>#DIV/0!</v>
      </c>
    </row>
    <row r="27" spans="1:25">
      <c r="A27" s="24" t="s">
        <v>62</v>
      </c>
      <c r="B27" s="25"/>
      <c r="C27" s="24" t="s">
        <v>63</v>
      </c>
      <c r="D27" s="25"/>
      <c r="E27" s="5"/>
      <c r="F27" s="1">
        <f>E27*0.1</f>
        <v>0</v>
      </c>
      <c r="G27" s="1"/>
      <c r="H27" s="1"/>
      <c r="I27" s="1"/>
      <c r="J27" s="1"/>
      <c r="K27" s="1"/>
      <c r="L27" s="5" t="e">
        <f>AVERAGE(G27:K27)*0.2+V27</f>
        <v>#DIV/0!</v>
      </c>
      <c r="M27" s="5"/>
      <c r="N27" s="5">
        <f>M27*0.2</f>
        <v>0</v>
      </c>
      <c r="O27" s="1"/>
      <c r="P27" s="6">
        <f>O27*0.5</f>
        <v>0</v>
      </c>
      <c r="Q27" s="6"/>
      <c r="R27" s="6"/>
      <c r="S27" s="6"/>
      <c r="T27" s="6"/>
      <c r="U27" s="6"/>
      <c r="V27" s="6">
        <f>(SUM(Q27:U27)/5)*0.5</f>
        <v>0</v>
      </c>
      <c r="W27" s="6" t="e">
        <f>F27+L27+N27+P27</f>
        <v>#DIV/0!</v>
      </c>
      <c r="X27" s="6" t="e">
        <f>INT(W27*10)/10+IF(MOD(W27*10,1)&gt;=0.5,0.1,0)</f>
        <v>#DIV/0!</v>
      </c>
      <c r="Y27" s="1" t="e">
        <f>IF(W27&lt;3,3-W27,"No aplica")</f>
        <v>#DIV/0!</v>
      </c>
    </row>
    <row r="28" spans="1:25">
      <c r="A28" s="24" t="s">
        <v>64</v>
      </c>
      <c r="B28" s="25"/>
      <c r="C28" s="24" t="s">
        <v>65</v>
      </c>
      <c r="D28" s="25"/>
      <c r="E28" s="5"/>
      <c r="F28" s="1">
        <f>E28*0.1</f>
        <v>0</v>
      </c>
      <c r="G28" s="1"/>
      <c r="H28" s="1"/>
      <c r="I28" s="1"/>
      <c r="J28" s="1"/>
      <c r="K28" s="1"/>
      <c r="L28" s="5" t="e">
        <f>AVERAGE(G28:K28)*0.2+V28</f>
        <v>#DIV/0!</v>
      </c>
      <c r="M28" s="5"/>
      <c r="N28" s="5">
        <f>M28*0.2</f>
        <v>0</v>
      </c>
      <c r="O28" s="1"/>
      <c r="P28" s="6">
        <f>O28*0.5</f>
        <v>0</v>
      </c>
      <c r="Q28" s="6"/>
      <c r="R28" s="6"/>
      <c r="S28" s="6"/>
      <c r="T28" s="6"/>
      <c r="U28" s="6"/>
      <c r="V28" s="6">
        <f>(SUM(Q28:U28)/5)*0.5</f>
        <v>0</v>
      </c>
      <c r="W28" s="6" t="e">
        <f>F28+L28+N28+P28</f>
        <v>#DIV/0!</v>
      </c>
      <c r="X28" s="6" t="e">
        <f>INT(W28*10)/10+IF(MOD(W28*10,1)&gt;=0.5,0.1,0)</f>
        <v>#DIV/0!</v>
      </c>
      <c r="Y28" s="1" t="e">
        <f>IF(W28&lt;3,3-W28,"No aplica")</f>
        <v>#DIV/0!</v>
      </c>
    </row>
    <row r="29" spans="1:25">
      <c r="A29" s="24" t="s">
        <v>66</v>
      </c>
      <c r="B29" s="25"/>
      <c r="C29" s="24" t="s">
        <v>67</v>
      </c>
      <c r="D29" s="25"/>
      <c r="E29" s="5"/>
      <c r="F29" s="1">
        <f>E29*0.1</f>
        <v>0</v>
      </c>
      <c r="G29" s="1"/>
      <c r="H29" s="1"/>
      <c r="I29" s="1"/>
      <c r="J29" s="1"/>
      <c r="K29" s="1"/>
      <c r="L29" s="5" t="e">
        <f>AVERAGE(G29:K29)*0.2+V29</f>
        <v>#DIV/0!</v>
      </c>
      <c r="M29" s="5"/>
      <c r="N29" s="5">
        <f>M29*0.2</f>
        <v>0</v>
      </c>
      <c r="O29" s="1"/>
      <c r="P29" s="6">
        <f>O29*0.5</f>
        <v>0</v>
      </c>
      <c r="Q29" s="6"/>
      <c r="R29" s="6"/>
      <c r="S29" s="6"/>
      <c r="T29" s="6"/>
      <c r="U29" s="6"/>
      <c r="V29" s="6">
        <f>(SUM(Q29:U29)/5)*0.5</f>
        <v>0</v>
      </c>
      <c r="W29" s="6" t="e">
        <f>F29+L29+N29+P29</f>
        <v>#DIV/0!</v>
      </c>
      <c r="X29" s="6" t="e">
        <f>INT(W29*10)/10+IF(MOD(W29*10,1)&gt;=0.5,0.1,0)</f>
        <v>#DIV/0!</v>
      </c>
      <c r="Y29" s="1" t="e">
        <f>IF(W29&lt;3,3-W29,"No aplica")</f>
        <v>#DIV/0!</v>
      </c>
    </row>
    <row r="30" spans="1:25">
      <c r="A30" s="24" t="s">
        <v>68</v>
      </c>
      <c r="B30" s="25"/>
      <c r="C30" s="24" t="s">
        <v>69</v>
      </c>
      <c r="D30" s="25"/>
      <c r="E30" s="5"/>
      <c r="F30" s="1">
        <f>E30*0.1</f>
        <v>0</v>
      </c>
      <c r="G30" s="1"/>
      <c r="H30" s="1"/>
      <c r="I30" s="1"/>
      <c r="J30" s="1"/>
      <c r="K30" s="1"/>
      <c r="L30" s="5" t="e">
        <f>AVERAGE(G30:K30)*0.2+V30</f>
        <v>#DIV/0!</v>
      </c>
      <c r="M30" s="5"/>
      <c r="N30" s="5">
        <f>M30*0.2</f>
        <v>0</v>
      </c>
      <c r="O30" s="1"/>
      <c r="P30" s="6">
        <f>O30*0.5</f>
        <v>0</v>
      </c>
      <c r="Q30" s="6"/>
      <c r="R30" s="6"/>
      <c r="S30" s="6"/>
      <c r="T30" s="6"/>
      <c r="U30" s="6"/>
      <c r="V30" s="6">
        <f>(SUM(Q30:U30)/5)*0.5</f>
        <v>0</v>
      </c>
      <c r="W30" s="6" t="e">
        <f>F30+L30+N30+P30</f>
        <v>#DIV/0!</v>
      </c>
      <c r="X30" s="6" t="e">
        <f>INT(W30*10)/10+IF(MOD(W30*10,1)&gt;=0.5,0.1,0)</f>
        <v>#DIV/0!</v>
      </c>
      <c r="Y30" s="1" t="e">
        <f>IF(W30&lt;3,3-W30,"No aplica")</f>
        <v>#DIV/0!</v>
      </c>
    </row>
    <row r="31" spans="1:25">
      <c r="A31" s="24" t="s">
        <v>70</v>
      </c>
      <c r="B31" s="25"/>
      <c r="C31" s="24" t="s">
        <v>71</v>
      </c>
      <c r="D31" s="25"/>
      <c r="E31" s="5"/>
      <c r="F31" s="1">
        <f>E31*0.1</f>
        <v>0</v>
      </c>
      <c r="G31" s="1"/>
      <c r="H31" s="1"/>
      <c r="I31" s="1"/>
      <c r="J31" s="1"/>
      <c r="K31" s="1"/>
      <c r="L31" s="5" t="e">
        <f>AVERAGE(G31:K31)*0.2+V31</f>
        <v>#DIV/0!</v>
      </c>
      <c r="M31" s="5"/>
      <c r="N31" s="5">
        <f>M31*0.2</f>
        <v>0</v>
      </c>
      <c r="O31" s="1"/>
      <c r="P31" s="6">
        <f>O31*0.5</f>
        <v>0</v>
      </c>
      <c r="Q31" s="6"/>
      <c r="R31" s="6"/>
      <c r="S31" s="6"/>
      <c r="T31" s="6"/>
      <c r="U31" s="6"/>
      <c r="V31" s="6">
        <f>(SUM(Q31:U31)/5)*0.5</f>
        <v>0</v>
      </c>
      <c r="W31" s="6" t="e">
        <f>F31+L31+N31+P31</f>
        <v>#DIV/0!</v>
      </c>
      <c r="X31" s="6" t="e">
        <f>INT(W31*10)/10+IF(MOD(W31*10,1)&gt;=0.5,0.1,0)</f>
        <v>#DIV/0!</v>
      </c>
      <c r="Y31" s="1" t="e">
        <f>IF(W31&lt;3,3-W31,"No aplica")</f>
        <v>#DIV/0!</v>
      </c>
    </row>
    <row r="32" spans="1:25">
      <c r="A32" s="24" t="s">
        <v>72</v>
      </c>
      <c r="B32" s="25"/>
      <c r="C32" s="24" t="s">
        <v>73</v>
      </c>
      <c r="D32" s="25"/>
      <c r="E32" s="5"/>
      <c r="F32" s="1">
        <f>E32*0.1</f>
        <v>0</v>
      </c>
      <c r="G32" s="1"/>
      <c r="H32" s="1"/>
      <c r="I32" s="1"/>
      <c r="J32" s="1"/>
      <c r="K32" s="1"/>
      <c r="L32" s="5" t="e">
        <f>AVERAGE(G32:K32)*0.2+V32</f>
        <v>#DIV/0!</v>
      </c>
      <c r="M32" s="5"/>
      <c r="N32" s="5">
        <f>M32*0.2</f>
        <v>0</v>
      </c>
      <c r="O32" s="1"/>
      <c r="P32" s="6">
        <f>O32*0.5</f>
        <v>0</v>
      </c>
      <c r="Q32" s="6"/>
      <c r="R32" s="6"/>
      <c r="S32" s="6"/>
      <c r="T32" s="6"/>
      <c r="U32" s="6"/>
      <c r="V32" s="6">
        <f>(SUM(Q32:U32)/5)*0.5</f>
        <v>0</v>
      </c>
      <c r="W32" s="6" t="e">
        <f>F32+L32+N32+P32</f>
        <v>#DIV/0!</v>
      </c>
      <c r="X32" s="6" t="e">
        <f>INT(W32*10)/10+IF(MOD(W32*10,1)&gt;=0.5,0.1,0)</f>
        <v>#DIV/0!</v>
      </c>
      <c r="Y32" s="1" t="e">
        <f>IF(W32&lt;3,3-W32,"No aplica")</f>
        <v>#DIV/0!</v>
      </c>
    </row>
    <row r="33" spans="1:25">
      <c r="A33" s="24" t="s">
        <v>74</v>
      </c>
      <c r="B33" s="25"/>
      <c r="C33" s="24" t="s">
        <v>75</v>
      </c>
      <c r="D33" s="25"/>
      <c r="E33" s="5"/>
      <c r="F33" s="1">
        <f>E33*0.1</f>
        <v>0</v>
      </c>
      <c r="G33" s="1"/>
      <c r="H33" s="1"/>
      <c r="I33" s="1"/>
      <c r="J33" s="1"/>
      <c r="K33" s="1"/>
      <c r="L33" s="5" t="e">
        <f>AVERAGE(G33:K33)*0.2+V33</f>
        <v>#DIV/0!</v>
      </c>
      <c r="M33" s="5"/>
      <c r="N33" s="5">
        <f>M33*0.2</f>
        <v>0</v>
      </c>
      <c r="O33" s="1"/>
      <c r="P33" s="6">
        <f>O33*0.5</f>
        <v>0</v>
      </c>
      <c r="Q33" s="6"/>
      <c r="R33" s="6"/>
      <c r="S33" s="6"/>
      <c r="T33" s="6"/>
      <c r="U33" s="6"/>
      <c r="V33" s="6">
        <f>(SUM(Q33:U33)/5)*0.5</f>
        <v>0</v>
      </c>
      <c r="W33" s="6" t="e">
        <f>F33+L33+N33+P33</f>
        <v>#DIV/0!</v>
      </c>
      <c r="X33" s="6" t="e">
        <f>INT(W33*10)/10+IF(MOD(W33*10,1)&gt;=0.5,0.1,0)</f>
        <v>#DIV/0!</v>
      </c>
      <c r="Y33" s="1" t="e">
        <f>IF(W33&lt;3,3-W33,"No aplica")</f>
        <v>#DIV/0!</v>
      </c>
    </row>
    <row r="34" spans="1:25">
      <c r="A34" s="24" t="s">
        <v>76</v>
      </c>
      <c r="B34" s="25"/>
      <c r="C34" s="24" t="s">
        <v>77</v>
      </c>
      <c r="D34" s="25"/>
      <c r="E34" s="5"/>
      <c r="F34" s="1">
        <f>E34*0.1</f>
        <v>0</v>
      </c>
      <c r="G34" s="1"/>
      <c r="H34" s="1"/>
      <c r="I34" s="1"/>
      <c r="J34" s="1"/>
      <c r="K34" s="1"/>
      <c r="L34" s="5" t="e">
        <f>AVERAGE(G34:K34)*0.2+V34</f>
        <v>#DIV/0!</v>
      </c>
      <c r="M34" s="5"/>
      <c r="N34" s="5">
        <f>M34*0.2</f>
        <v>0</v>
      </c>
      <c r="O34" s="1"/>
      <c r="P34" s="6">
        <f>O34*0.5</f>
        <v>0</v>
      </c>
      <c r="Q34" s="6"/>
      <c r="R34" s="6"/>
      <c r="S34" s="6"/>
      <c r="T34" s="6"/>
      <c r="U34" s="6"/>
      <c r="V34" s="6">
        <f>(SUM(Q34:U34)/5)*0.5</f>
        <v>0</v>
      </c>
      <c r="W34" s="6" t="e">
        <f>F34+L34+N34+P34</f>
        <v>#DIV/0!</v>
      </c>
      <c r="X34" s="6" t="e">
        <f>INT(W34*10)/10+IF(MOD(W34*10,1)&gt;=0.5,0.1,0)</f>
        <v>#DIV/0!</v>
      </c>
      <c r="Y34" s="1" t="e">
        <f>IF(W34&lt;3,3-W34,"No aplica")</f>
        <v>#DIV/0!</v>
      </c>
    </row>
    <row r="35" spans="1:25">
      <c r="A35" s="24" t="s">
        <v>78</v>
      </c>
      <c r="B35" s="25"/>
      <c r="C35" s="24" t="s">
        <v>79</v>
      </c>
      <c r="D35" s="25"/>
      <c r="E35" s="5"/>
      <c r="F35" s="1">
        <f>E35*0.1</f>
        <v>0</v>
      </c>
      <c r="G35" s="1"/>
      <c r="H35" s="1"/>
      <c r="I35" s="1"/>
      <c r="J35" s="1"/>
      <c r="K35" s="1"/>
      <c r="L35" s="5" t="e">
        <f>AVERAGE(G35:K35)*0.2+V35</f>
        <v>#DIV/0!</v>
      </c>
      <c r="M35" s="5"/>
      <c r="N35" s="5">
        <f>M35*0.2</f>
        <v>0</v>
      </c>
      <c r="O35" s="1"/>
      <c r="P35" s="6">
        <f>O35*0.5</f>
        <v>0</v>
      </c>
      <c r="Q35" s="6"/>
      <c r="R35" s="6"/>
      <c r="S35" s="6"/>
      <c r="T35" s="6"/>
      <c r="U35" s="6"/>
      <c r="V35" s="6">
        <f>(SUM(Q35:U35)/5)*0.5</f>
        <v>0</v>
      </c>
      <c r="W35" s="6" t="e">
        <f>F35+L35+N35+P35</f>
        <v>#DIV/0!</v>
      </c>
      <c r="X35" s="6" t="e">
        <f>INT(W35*10)/10+IF(MOD(W35*10,1)&gt;=0.5,0.1,0)</f>
        <v>#DIV/0!</v>
      </c>
      <c r="Y35" s="1" t="e">
        <f>IF(W35&lt;3,3-W35,"No aplica")</f>
        <v>#DIV/0!</v>
      </c>
    </row>
    <row r="36" spans="1:25">
      <c r="A36" s="24">
        <v>1059240188</v>
      </c>
      <c r="B36" s="25"/>
      <c r="C36" s="24" t="s">
        <v>80</v>
      </c>
      <c r="D36" s="25"/>
      <c r="E36" s="5"/>
      <c r="F36" s="1">
        <f>E36*0.1</f>
        <v>0</v>
      </c>
      <c r="G36" s="1"/>
      <c r="H36" s="1"/>
      <c r="I36" s="1"/>
      <c r="J36" s="1"/>
      <c r="K36" s="1"/>
      <c r="L36" s="5" t="e">
        <f>AVERAGE(G36:K36)*0.2+V36</f>
        <v>#DIV/0!</v>
      </c>
      <c r="M36" s="5"/>
      <c r="N36" s="5">
        <f>M36*0.2</f>
        <v>0</v>
      </c>
      <c r="O36" s="1"/>
      <c r="P36" s="6">
        <f>O36*0.5</f>
        <v>0</v>
      </c>
      <c r="Q36" s="6"/>
      <c r="R36" s="6"/>
      <c r="S36" s="6"/>
      <c r="T36" s="6"/>
      <c r="U36" s="6"/>
      <c r="V36" s="6">
        <f>(SUM(Q36:U36)/5)*0.5</f>
        <v>0</v>
      </c>
      <c r="W36" s="6" t="e">
        <f>F36+L36+N36+P36</f>
        <v>#DIV/0!</v>
      </c>
      <c r="X36" s="6" t="e">
        <f>INT(W36*10)/10+IF(MOD(W36*10,1)&gt;=0.5,0.1,0)</f>
        <v>#DIV/0!</v>
      </c>
      <c r="Y36" s="1" t="e">
        <f>IF(W36&lt;3,3-W36,"No aplica")</f>
        <v>#DIV/0!</v>
      </c>
    </row>
  </sheetData>
  <autoFilter ref="A7:Y7" xr:uid="{00000000-0001-0000-0000-000000000000}">
    <filterColumn colId="0" showButton="0"/>
    <filterColumn colId="2" showButton="0"/>
    <sortState xmlns:xlrd2="http://schemas.microsoft.com/office/spreadsheetml/2017/richdata2" ref="A8:Y37">
      <sortCondition ref="C7"/>
    </sortState>
  </autoFilter>
  <mergeCells count="71">
    <mergeCell ref="C28:D28"/>
    <mergeCell ref="A36:B36"/>
    <mergeCell ref="C36:D36"/>
    <mergeCell ref="A35:B35"/>
    <mergeCell ref="C35:D35"/>
    <mergeCell ref="C29:D29"/>
    <mergeCell ref="C34:D34"/>
    <mergeCell ref="C30:D30"/>
    <mergeCell ref="C31:D31"/>
    <mergeCell ref="C32:D32"/>
    <mergeCell ref="C33:D33"/>
    <mergeCell ref="A28:B28"/>
    <mergeCell ref="C14:D14"/>
    <mergeCell ref="C15:D15"/>
    <mergeCell ref="C16:D16"/>
    <mergeCell ref="C17:D17"/>
    <mergeCell ref="C18:D18"/>
    <mergeCell ref="A18:B18"/>
    <mergeCell ref="C19:D19"/>
    <mergeCell ref="C20:D20"/>
    <mergeCell ref="C21:D21"/>
    <mergeCell ref="C22:D22"/>
    <mergeCell ref="A26:B26"/>
    <mergeCell ref="A27:B27"/>
    <mergeCell ref="A22:B22"/>
    <mergeCell ref="C25:D25"/>
    <mergeCell ref="C26:D26"/>
    <mergeCell ref="C23:D23"/>
    <mergeCell ref="C24:D24"/>
    <mergeCell ref="A23:B23"/>
    <mergeCell ref="A24:B24"/>
    <mergeCell ref="A25:B25"/>
    <mergeCell ref="C27:D27"/>
    <mergeCell ref="A16:B16"/>
    <mergeCell ref="A34:B34"/>
    <mergeCell ref="C8:D8"/>
    <mergeCell ref="C9:D9"/>
    <mergeCell ref="C10:D10"/>
    <mergeCell ref="C11:D11"/>
    <mergeCell ref="C12:D12"/>
    <mergeCell ref="C13:D13"/>
    <mergeCell ref="A29:B29"/>
    <mergeCell ref="A30:B30"/>
    <mergeCell ref="A31:B31"/>
    <mergeCell ref="A32:B32"/>
    <mergeCell ref="A33:B33"/>
    <mergeCell ref="A19:B19"/>
    <mergeCell ref="A20:B20"/>
    <mergeCell ref="A21:B21"/>
    <mergeCell ref="A17:B17"/>
    <mergeCell ref="C1:I1"/>
    <mergeCell ref="C2:I2"/>
    <mergeCell ref="C4:I4"/>
    <mergeCell ref="C3:I3"/>
    <mergeCell ref="A3:B3"/>
    <mergeCell ref="A10:B10"/>
    <mergeCell ref="A11:B11"/>
    <mergeCell ref="A1:B1"/>
    <mergeCell ref="A2:B2"/>
    <mergeCell ref="A4:B4"/>
    <mergeCell ref="A6:D6"/>
    <mergeCell ref="A12:B12"/>
    <mergeCell ref="A13:B13"/>
    <mergeCell ref="A14:B14"/>
    <mergeCell ref="A15:B15"/>
    <mergeCell ref="Q6:U6"/>
    <mergeCell ref="A7:B7"/>
    <mergeCell ref="C7:D7"/>
    <mergeCell ref="A8:B8"/>
    <mergeCell ref="A9:B9"/>
    <mergeCell ref="G6:K6"/>
  </mergeCells>
  <conditionalFormatting sqref="E8:E35">
    <cfRule type="expression" dxfId="51" priority="15">
      <formula>E8&lt;3</formula>
    </cfRule>
    <cfRule type="expression" dxfId="50" priority="16">
      <formula>E8&gt;=3</formula>
    </cfRule>
  </conditionalFormatting>
  <conditionalFormatting sqref="G8:K35 O8:O35 W8:W35">
    <cfRule type="expression" dxfId="49" priority="23">
      <formula>G8&gt;=3</formula>
    </cfRule>
    <cfRule type="expression" dxfId="48" priority="24">
      <formula>G8&lt;3</formula>
    </cfRule>
  </conditionalFormatting>
  <conditionalFormatting sqref="Q8:U35">
    <cfRule type="cellIs" dxfId="47" priority="17" operator="greaterThan">
      <formula>0</formula>
    </cfRule>
    <cfRule type="containsBlanks" dxfId="46" priority="18">
      <formula>LEN(TRIM(Q8))=0</formula>
    </cfRule>
  </conditionalFormatting>
  <conditionalFormatting sqref="M8:M35">
    <cfRule type="expression" dxfId="45" priority="14">
      <formula>M8&lt;3</formula>
    </cfRule>
  </conditionalFormatting>
  <conditionalFormatting sqref="M8:M35">
    <cfRule type="expression" dxfId="44" priority="13">
      <formula>M8&gt;=3</formula>
    </cfRule>
  </conditionalFormatting>
  <conditionalFormatting sqref="E36">
    <cfRule type="expression" dxfId="43" priority="3">
      <formula>E36&lt;3</formula>
    </cfRule>
    <cfRule type="expression" dxfId="42" priority="4">
      <formula>E36&gt;=3</formula>
    </cfRule>
  </conditionalFormatting>
  <conditionalFormatting sqref="G36:K36">
    <cfRule type="expression" dxfId="41" priority="11">
      <formula>G36&gt;=3</formula>
    </cfRule>
    <cfRule type="expression" dxfId="40" priority="12">
      <formula>G36&lt;3</formula>
    </cfRule>
  </conditionalFormatting>
  <conditionalFormatting sqref="O36">
    <cfRule type="expression" dxfId="39" priority="9">
      <formula>O36&gt;=3</formula>
    </cfRule>
    <cfRule type="expression" dxfId="38" priority="10">
      <formula>O36&lt;3</formula>
    </cfRule>
  </conditionalFormatting>
  <conditionalFormatting sqref="Q36:U36">
    <cfRule type="cellIs" dxfId="37" priority="5" operator="greaterThan">
      <formula>0</formula>
    </cfRule>
    <cfRule type="containsBlanks" dxfId="36" priority="6">
      <formula>LEN(TRIM(Q36))=0</formula>
    </cfRule>
  </conditionalFormatting>
  <conditionalFormatting sqref="W36">
    <cfRule type="expression" dxfId="35" priority="7">
      <formula>W36&gt;=3</formula>
    </cfRule>
    <cfRule type="expression" dxfId="34" priority="8">
      <formula>W36&lt;3</formula>
    </cfRule>
  </conditionalFormatting>
  <conditionalFormatting sqref="M36">
    <cfRule type="expression" dxfId="33" priority="2">
      <formula>M36&lt;3</formula>
    </cfRule>
  </conditionalFormatting>
  <conditionalFormatting sqref="M36">
    <cfRule type="expression" dxfId="32" priority="1">
      <formula>M36&gt;=3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3978-089C-4AEE-BC80-49D65BE8ACB3}">
  <dimension ref="A1:R35"/>
  <sheetViews>
    <sheetView workbookViewId="0">
      <pane xSplit="4" topLeftCell="E1" activePane="topRight" state="frozen"/>
      <selection pane="topRight" activeCell="K25" sqref="K25"/>
    </sheetView>
  </sheetViews>
  <sheetFormatPr defaultRowHeight="15"/>
  <cols>
    <col min="4" max="4" width="30.42578125" customWidth="1"/>
    <col min="7" max="7" width="28.5703125" bestFit="1" customWidth="1"/>
    <col min="8" max="8" width="21.140625" bestFit="1" customWidth="1"/>
    <col min="9" max="9" width="10.85546875" bestFit="1" customWidth="1"/>
    <col min="13" max="13" width="28.140625" customWidth="1"/>
    <col min="16" max="16" width="11" bestFit="1" customWidth="1"/>
    <col min="17" max="17" width="20.5703125" bestFit="1" customWidth="1"/>
    <col min="18" max="18" width="19.7109375" bestFit="1" customWidth="1"/>
  </cols>
  <sheetData>
    <row r="1" spans="1:18">
      <c r="A1" s="28" t="s">
        <v>0</v>
      </c>
      <c r="B1" s="28"/>
      <c r="C1" s="34" t="s">
        <v>1</v>
      </c>
      <c r="D1" s="34"/>
      <c r="E1" s="34"/>
      <c r="F1" s="34"/>
      <c r="G1" s="34"/>
      <c r="H1" s="34"/>
      <c r="I1" s="34"/>
    </row>
    <row r="2" spans="1:18">
      <c r="A2" s="28" t="s">
        <v>2</v>
      </c>
      <c r="B2" s="28"/>
      <c r="C2" s="34" t="s">
        <v>3</v>
      </c>
      <c r="D2" s="34"/>
      <c r="E2" s="34"/>
      <c r="F2" s="34"/>
      <c r="G2" s="34"/>
      <c r="H2" s="34"/>
      <c r="I2" s="34"/>
    </row>
    <row r="3" spans="1:18">
      <c r="A3" s="36" t="s">
        <v>4</v>
      </c>
      <c r="B3" s="46"/>
      <c r="C3" s="43" t="s">
        <v>5</v>
      </c>
      <c r="D3" s="44"/>
      <c r="E3" s="44"/>
      <c r="F3" s="44"/>
      <c r="G3" s="44"/>
      <c r="H3" s="44"/>
      <c r="I3" s="45"/>
      <c r="L3" s="12"/>
      <c r="M3" s="12"/>
      <c r="N3" s="12"/>
    </row>
    <row r="4" spans="1:18">
      <c r="A4" s="28" t="s">
        <v>6</v>
      </c>
      <c r="B4" s="28"/>
      <c r="C4" s="34" t="s">
        <v>7</v>
      </c>
      <c r="D4" s="34"/>
      <c r="E4" s="34"/>
      <c r="F4" s="34"/>
      <c r="G4" s="34"/>
      <c r="H4" s="34"/>
      <c r="I4" s="34"/>
    </row>
    <row r="6" spans="1:18">
      <c r="A6" s="30" t="s">
        <v>8</v>
      </c>
      <c r="B6" s="30"/>
      <c r="C6" s="30"/>
      <c r="D6" s="30"/>
      <c r="E6" s="2" t="s">
        <v>9</v>
      </c>
      <c r="F6" s="4">
        <v>0.1</v>
      </c>
      <c r="G6" s="30" t="s">
        <v>10</v>
      </c>
      <c r="H6" s="30"/>
      <c r="I6" s="30"/>
      <c r="J6" s="3">
        <v>0.4</v>
      </c>
      <c r="K6" s="2" t="s">
        <v>12</v>
      </c>
      <c r="L6" s="4">
        <v>0.5</v>
      </c>
      <c r="M6" s="4"/>
      <c r="N6" s="4"/>
      <c r="O6" s="7" t="s">
        <v>15</v>
      </c>
      <c r="P6" s="7" t="s">
        <v>16</v>
      </c>
      <c r="Q6" s="7" t="s">
        <v>17</v>
      </c>
      <c r="R6" s="2" t="s">
        <v>81</v>
      </c>
    </row>
    <row r="7" spans="1:18">
      <c r="A7" s="32" t="s">
        <v>18</v>
      </c>
      <c r="B7" s="33"/>
      <c r="C7" s="32" t="s">
        <v>19</v>
      </c>
      <c r="D7" s="32"/>
      <c r="E7" s="8" t="s">
        <v>20</v>
      </c>
      <c r="F7" s="8"/>
      <c r="G7" s="19" t="s">
        <v>82</v>
      </c>
      <c r="H7" s="19" t="s">
        <v>83</v>
      </c>
      <c r="I7" s="19" t="s">
        <v>84</v>
      </c>
      <c r="J7" s="9"/>
      <c r="K7" s="8"/>
      <c r="L7" s="10"/>
      <c r="M7" s="10" t="s">
        <v>85</v>
      </c>
      <c r="N7" s="10"/>
      <c r="O7" s="10"/>
      <c r="P7" s="10"/>
      <c r="Q7" s="10"/>
      <c r="R7" s="8"/>
    </row>
    <row r="8" spans="1:18">
      <c r="A8" s="24" t="s">
        <v>25</v>
      </c>
      <c r="B8" s="25"/>
      <c r="C8" s="24" t="s">
        <v>26</v>
      </c>
      <c r="D8" s="25"/>
      <c r="E8" s="5">
        <v>3.8</v>
      </c>
      <c r="F8" s="1">
        <f>E8*0.1</f>
        <v>0.38</v>
      </c>
      <c r="G8" s="1">
        <v>4.3</v>
      </c>
      <c r="H8" s="1">
        <v>0</v>
      </c>
      <c r="I8" s="1">
        <v>4.5</v>
      </c>
      <c r="J8" s="5">
        <f>AVERAGE(G8:I8)*0.4</f>
        <v>1.1733333333333336</v>
      </c>
      <c r="K8" s="1">
        <v>3.45</v>
      </c>
      <c r="L8" s="6">
        <f>K8*0.5</f>
        <v>1.7250000000000001</v>
      </c>
      <c r="M8" s="6"/>
      <c r="N8" s="6">
        <f>M8/10</f>
        <v>0</v>
      </c>
      <c r="O8" s="6">
        <f>L8+J8+F8</f>
        <v>3.2783333333333333</v>
      </c>
      <c r="P8" s="6">
        <f>INT(O8*10)/10+IF(MOD(O8*10,1)&gt;=0.5,0.1,0)</f>
        <v>3.3000000000000003</v>
      </c>
      <c r="Q8" s="6" t="str">
        <f>IF(O8&lt;3,3-O8,"No aplica")</f>
        <v>No aplica</v>
      </c>
      <c r="R8" s="1">
        <f>P8+N8</f>
        <v>3.3000000000000003</v>
      </c>
    </row>
    <row r="9" spans="1:18">
      <c r="A9" s="24">
        <v>1059240188</v>
      </c>
      <c r="B9" s="25"/>
      <c r="C9" s="24" t="s">
        <v>80</v>
      </c>
      <c r="D9" s="25"/>
      <c r="E9" s="5">
        <v>3</v>
      </c>
      <c r="F9" s="1">
        <f>E9*0.1</f>
        <v>0.30000000000000004</v>
      </c>
      <c r="G9" s="1">
        <v>4</v>
      </c>
      <c r="H9" s="1">
        <v>5</v>
      </c>
      <c r="I9" s="1">
        <v>5</v>
      </c>
      <c r="J9" s="5">
        <f t="shared" ref="J9:J35" si="0">AVERAGE(G9:I9)*0.4</f>
        <v>1.8666666666666669</v>
      </c>
      <c r="K9" s="1">
        <v>3</v>
      </c>
      <c r="L9" s="6">
        <f>K9*0.5</f>
        <v>1.5</v>
      </c>
      <c r="M9" s="6">
        <v>1.5</v>
      </c>
      <c r="N9" s="6">
        <f>M9/10</f>
        <v>0.15</v>
      </c>
      <c r="O9" s="6">
        <f t="shared" ref="O9:O35" si="1">L9+J9+F9</f>
        <v>3.666666666666667</v>
      </c>
      <c r="P9" s="6">
        <f>INT(O9*10)/10+IF(MOD(O9*10,1)&gt;=0.5,0.1,0)</f>
        <v>3.7</v>
      </c>
      <c r="Q9" s="6" t="str">
        <f>IF(O9&lt;3,3-O9,"No aplica")</f>
        <v>No aplica</v>
      </c>
      <c r="R9" s="1">
        <f t="shared" ref="R9:R35" si="2">P9+N9</f>
        <v>3.85</v>
      </c>
    </row>
    <row r="10" spans="1:18">
      <c r="A10" s="24" t="s">
        <v>27</v>
      </c>
      <c r="B10" s="25"/>
      <c r="C10" s="24" t="s">
        <v>28</v>
      </c>
      <c r="D10" s="25"/>
      <c r="E10" s="5">
        <v>1</v>
      </c>
      <c r="F10" s="1">
        <f>E10*0.1</f>
        <v>0.1</v>
      </c>
      <c r="G10" s="1">
        <v>4.9000000000000004</v>
      </c>
      <c r="H10" s="1">
        <v>5</v>
      </c>
      <c r="I10" s="1">
        <v>5</v>
      </c>
      <c r="J10" s="5">
        <f t="shared" si="0"/>
        <v>1.9866666666666668</v>
      </c>
      <c r="K10" s="1">
        <v>5</v>
      </c>
      <c r="L10" s="6">
        <f>K10*0.5</f>
        <v>2.5</v>
      </c>
      <c r="M10" s="6">
        <v>1.5</v>
      </c>
      <c r="N10" s="6">
        <f t="shared" ref="N9:N35" si="3">M10/10</f>
        <v>0.15</v>
      </c>
      <c r="O10" s="6">
        <f t="shared" si="1"/>
        <v>4.586666666666666</v>
      </c>
      <c r="P10" s="6">
        <f>INT(O10*10)/10+IF(MOD(O10*10,1)&gt;=0.5,0.1,0)</f>
        <v>4.5999999999999996</v>
      </c>
      <c r="Q10" s="6" t="str">
        <f>IF(O10&lt;3,3-O10,"No aplica")</f>
        <v>No aplica</v>
      </c>
      <c r="R10" s="1">
        <f t="shared" si="2"/>
        <v>4.75</v>
      </c>
    </row>
    <row r="11" spans="1:18">
      <c r="A11" s="24" t="s">
        <v>29</v>
      </c>
      <c r="B11" s="25"/>
      <c r="C11" s="24" t="s">
        <v>30</v>
      </c>
      <c r="D11" s="25"/>
      <c r="E11" s="5">
        <v>3</v>
      </c>
      <c r="F11" s="1">
        <f>E11*0.1</f>
        <v>0.30000000000000004</v>
      </c>
      <c r="G11" s="1">
        <v>5</v>
      </c>
      <c r="H11" s="1">
        <v>5</v>
      </c>
      <c r="I11" s="1">
        <v>5</v>
      </c>
      <c r="J11" s="5">
        <f t="shared" si="0"/>
        <v>2</v>
      </c>
      <c r="K11" s="1">
        <v>3.75</v>
      </c>
      <c r="L11" s="6">
        <f>K11*0.5</f>
        <v>1.875</v>
      </c>
      <c r="M11" s="6">
        <v>1.5</v>
      </c>
      <c r="N11" s="6">
        <f t="shared" si="3"/>
        <v>0.15</v>
      </c>
      <c r="O11" s="6">
        <f t="shared" si="1"/>
        <v>4.1749999999999998</v>
      </c>
      <c r="P11" s="6">
        <f>INT(O11*10)/10+IF(MOD(O11*10,1)&gt;=0.5,0.1,0)</f>
        <v>4.1999999999999993</v>
      </c>
      <c r="Q11" s="6" t="str">
        <f>IF(O11&lt;3,3-O11,"No aplica")</f>
        <v>No aplica</v>
      </c>
      <c r="R11" s="1">
        <f t="shared" si="2"/>
        <v>4.3499999999999996</v>
      </c>
    </row>
    <row r="12" spans="1:18">
      <c r="A12" s="24" t="s">
        <v>31</v>
      </c>
      <c r="B12" s="25"/>
      <c r="C12" s="24" t="s">
        <v>32</v>
      </c>
      <c r="D12" s="25"/>
      <c r="E12" s="5">
        <v>3</v>
      </c>
      <c r="F12" s="1">
        <f>E12*0.1</f>
        <v>0.30000000000000004</v>
      </c>
      <c r="G12" s="1">
        <v>5</v>
      </c>
      <c r="H12" s="1">
        <v>5</v>
      </c>
      <c r="I12" s="1">
        <v>5</v>
      </c>
      <c r="J12" s="5">
        <f t="shared" si="0"/>
        <v>2</v>
      </c>
      <c r="K12" s="1">
        <v>5.2</v>
      </c>
      <c r="L12" s="6">
        <f>K12*0.5</f>
        <v>2.6</v>
      </c>
      <c r="M12" s="6">
        <v>1.5</v>
      </c>
      <c r="N12" s="6">
        <f t="shared" si="3"/>
        <v>0.15</v>
      </c>
      <c r="O12" s="6">
        <f t="shared" si="1"/>
        <v>4.8999999999999995</v>
      </c>
      <c r="P12" s="6">
        <f>INT(O12*10)/10+IF(MOD(O12*10,1)&gt;=0.5,0.1,0)</f>
        <v>5</v>
      </c>
      <c r="Q12" s="6" t="str">
        <f>IF(O12&lt;3,3-O12,"No aplica")</f>
        <v>No aplica</v>
      </c>
      <c r="R12" s="1">
        <f t="shared" si="2"/>
        <v>5.15</v>
      </c>
    </row>
    <row r="13" spans="1:18">
      <c r="A13" s="24" t="s">
        <v>33</v>
      </c>
      <c r="B13" s="25"/>
      <c r="C13" s="24" t="s">
        <v>34</v>
      </c>
      <c r="D13" s="25"/>
      <c r="E13" s="5">
        <v>3.5</v>
      </c>
      <c r="F13" s="1">
        <f>E13*0.1</f>
        <v>0.35000000000000003</v>
      </c>
      <c r="G13" s="1">
        <v>4.7</v>
      </c>
      <c r="H13" s="1">
        <v>5</v>
      </c>
      <c r="I13" s="1">
        <v>3.9</v>
      </c>
      <c r="J13" s="5">
        <f t="shared" si="0"/>
        <v>1.8133333333333335</v>
      </c>
      <c r="K13" s="1">
        <v>5</v>
      </c>
      <c r="L13" s="6">
        <f>K13*0.5</f>
        <v>2.5</v>
      </c>
      <c r="M13" s="6">
        <v>1.5</v>
      </c>
      <c r="N13" s="6">
        <f t="shared" si="3"/>
        <v>0.15</v>
      </c>
      <c r="O13" s="6">
        <f t="shared" si="1"/>
        <v>4.6633333333333331</v>
      </c>
      <c r="P13" s="6">
        <f>INT(O13*10)/10+IF(MOD(O13*10,1)&gt;=0.5,0.1,0)</f>
        <v>4.6999999999999993</v>
      </c>
      <c r="Q13" s="6" t="str">
        <f>IF(O13&lt;3,3-O13,"No aplica")</f>
        <v>No aplica</v>
      </c>
      <c r="R13" s="1">
        <f t="shared" si="2"/>
        <v>4.8499999999999996</v>
      </c>
    </row>
    <row r="14" spans="1:18">
      <c r="A14" s="24" t="s">
        <v>35</v>
      </c>
      <c r="B14" s="25"/>
      <c r="C14" s="24" t="s">
        <v>36</v>
      </c>
      <c r="D14" s="25"/>
      <c r="E14" s="5">
        <v>3</v>
      </c>
      <c r="F14" s="1">
        <f>E14*0.1</f>
        <v>0.30000000000000004</v>
      </c>
      <c r="G14" s="1">
        <v>5</v>
      </c>
      <c r="H14" s="1">
        <v>5</v>
      </c>
      <c r="I14" s="1">
        <v>5</v>
      </c>
      <c r="J14" s="5">
        <f t="shared" si="0"/>
        <v>2</v>
      </c>
      <c r="K14" s="1">
        <v>3.1</v>
      </c>
      <c r="L14" s="6">
        <f>K14*0.5</f>
        <v>1.55</v>
      </c>
      <c r="M14" s="6">
        <v>1.5</v>
      </c>
      <c r="N14" s="6">
        <f t="shared" si="3"/>
        <v>0.15</v>
      </c>
      <c r="O14" s="6">
        <f t="shared" si="1"/>
        <v>3.8499999999999996</v>
      </c>
      <c r="P14" s="6">
        <f>INT(O14*10)/10+IF(MOD(O14*10,1)&gt;=0.5,0.1,0)</f>
        <v>3.9</v>
      </c>
      <c r="Q14" s="6" t="str">
        <f>IF(O14&lt;3,3-O14,"No aplica")</f>
        <v>No aplica</v>
      </c>
      <c r="R14" s="1">
        <f t="shared" si="2"/>
        <v>4.05</v>
      </c>
    </row>
    <row r="15" spans="1:18">
      <c r="A15" s="24" t="s">
        <v>37</v>
      </c>
      <c r="B15" s="25"/>
      <c r="C15" s="24" t="s">
        <v>38</v>
      </c>
      <c r="D15" s="25"/>
      <c r="E15" s="5">
        <v>5</v>
      </c>
      <c r="F15" s="1">
        <f>E15*0.1</f>
        <v>0.5</v>
      </c>
      <c r="G15" s="1">
        <v>5</v>
      </c>
      <c r="H15" s="1">
        <v>5</v>
      </c>
      <c r="I15" s="1">
        <v>5</v>
      </c>
      <c r="J15" s="5">
        <f t="shared" si="0"/>
        <v>2</v>
      </c>
      <c r="K15" s="1">
        <v>5.25</v>
      </c>
      <c r="L15" s="6">
        <f>K15*0.5</f>
        <v>2.625</v>
      </c>
      <c r="M15" s="6">
        <v>1.5</v>
      </c>
      <c r="N15" s="6">
        <f t="shared" si="3"/>
        <v>0.15</v>
      </c>
      <c r="O15" s="6">
        <f t="shared" si="1"/>
        <v>5.125</v>
      </c>
      <c r="P15" s="6">
        <f>INT(O15*10)/10+IF(MOD(O15*10,1)&gt;=0.5,0.1,0)</f>
        <v>5.0999999999999996</v>
      </c>
      <c r="Q15" s="6" t="str">
        <f>IF(O15&lt;3,3-O15,"No aplica")</f>
        <v>No aplica</v>
      </c>
      <c r="R15" s="1">
        <f t="shared" si="2"/>
        <v>5.25</v>
      </c>
    </row>
    <row r="16" spans="1:18">
      <c r="A16" s="24" t="s">
        <v>39</v>
      </c>
      <c r="B16" s="25"/>
      <c r="C16" s="24" t="s">
        <v>40</v>
      </c>
      <c r="D16" s="25"/>
      <c r="E16" s="5">
        <v>2.1</v>
      </c>
      <c r="F16" s="1">
        <f>E16*0.1</f>
        <v>0.21000000000000002</v>
      </c>
      <c r="G16" s="1">
        <v>5</v>
      </c>
      <c r="H16" s="1">
        <v>5</v>
      </c>
      <c r="I16" s="1">
        <v>4.5999999999999996</v>
      </c>
      <c r="J16" s="5">
        <f t="shared" si="0"/>
        <v>1.9466666666666665</v>
      </c>
      <c r="K16" s="1">
        <v>5.25</v>
      </c>
      <c r="L16" s="6">
        <f>K16*0.5</f>
        <v>2.625</v>
      </c>
      <c r="M16" s="6">
        <v>1.5</v>
      </c>
      <c r="N16" s="6">
        <f t="shared" si="3"/>
        <v>0.15</v>
      </c>
      <c r="O16" s="6">
        <f t="shared" si="1"/>
        <v>4.7816666666666663</v>
      </c>
      <c r="P16" s="6">
        <f>INT(O16*10)/10+IF(MOD(O16*10,1)&gt;=0.5,0.1,0)</f>
        <v>4.8</v>
      </c>
      <c r="Q16" s="6" t="str">
        <f>IF(O16&lt;3,3-O16,"No aplica")</f>
        <v>No aplica</v>
      </c>
      <c r="R16" s="1">
        <f t="shared" si="2"/>
        <v>4.95</v>
      </c>
    </row>
    <row r="17" spans="1:18">
      <c r="A17" s="24" t="s">
        <v>41</v>
      </c>
      <c r="B17" s="25"/>
      <c r="C17" s="24" t="s">
        <v>42</v>
      </c>
      <c r="D17" s="25"/>
      <c r="E17" s="5">
        <v>2.2000000000000002</v>
      </c>
      <c r="F17" s="1">
        <f>E17*0.1</f>
        <v>0.22000000000000003</v>
      </c>
      <c r="G17" s="1">
        <v>4.8</v>
      </c>
      <c r="H17" s="1">
        <v>5</v>
      </c>
      <c r="I17" s="1">
        <v>3.7</v>
      </c>
      <c r="J17" s="5">
        <f t="shared" si="0"/>
        <v>1.8</v>
      </c>
      <c r="K17" s="1">
        <v>3.15</v>
      </c>
      <c r="L17" s="6">
        <f>K17*0.5</f>
        <v>1.575</v>
      </c>
      <c r="M17" s="6">
        <v>1.5</v>
      </c>
      <c r="N17" s="6">
        <f t="shared" si="3"/>
        <v>0.15</v>
      </c>
      <c r="O17" s="6">
        <f t="shared" si="1"/>
        <v>3.5950000000000002</v>
      </c>
      <c r="P17" s="6">
        <f>INT(O17*10)/10+IF(MOD(O17*10,1)&gt;=0.5,0.1,0)</f>
        <v>3.6</v>
      </c>
      <c r="Q17" s="6" t="str">
        <f>IF(O17&lt;3,3-O17,"No aplica")</f>
        <v>No aplica</v>
      </c>
      <c r="R17" s="1">
        <f t="shared" si="2"/>
        <v>3.75</v>
      </c>
    </row>
    <row r="18" spans="1:18">
      <c r="A18" s="24" t="s">
        <v>43</v>
      </c>
      <c r="B18" s="25"/>
      <c r="C18" s="24" t="s">
        <v>44</v>
      </c>
      <c r="D18" s="25"/>
      <c r="E18" s="5">
        <v>2.5</v>
      </c>
      <c r="F18" s="1">
        <f>E18*0.1</f>
        <v>0.25</v>
      </c>
      <c r="G18" s="1">
        <v>4.5</v>
      </c>
      <c r="H18" s="1">
        <v>4.8</v>
      </c>
      <c r="I18" s="1">
        <v>5</v>
      </c>
      <c r="J18" s="5">
        <f t="shared" si="0"/>
        <v>1.9066666666666667</v>
      </c>
      <c r="K18" s="1">
        <v>3.2</v>
      </c>
      <c r="L18" s="6">
        <f>K18*0.5</f>
        <v>1.6</v>
      </c>
      <c r="M18" s="6">
        <v>1.5</v>
      </c>
      <c r="N18" s="6">
        <f t="shared" si="3"/>
        <v>0.15</v>
      </c>
      <c r="O18" s="6">
        <f t="shared" si="1"/>
        <v>3.7566666666666668</v>
      </c>
      <c r="P18" s="6">
        <f>INT(O18*10)/10+IF(MOD(O18*10,1)&gt;=0.5,0.1,0)</f>
        <v>3.8000000000000003</v>
      </c>
      <c r="Q18" s="6" t="str">
        <f>IF(O18&lt;3,3-O18,"No aplica")</f>
        <v>No aplica</v>
      </c>
      <c r="R18" s="1">
        <f t="shared" si="2"/>
        <v>3.95</v>
      </c>
    </row>
    <row r="19" spans="1:18">
      <c r="A19" s="24" t="s">
        <v>45</v>
      </c>
      <c r="B19" s="25"/>
      <c r="C19" s="24" t="s">
        <v>46</v>
      </c>
      <c r="D19" s="25"/>
      <c r="E19" s="5">
        <v>3.5</v>
      </c>
      <c r="F19" s="1">
        <f>E19*0.1</f>
        <v>0.35000000000000003</v>
      </c>
      <c r="G19" s="1">
        <v>5</v>
      </c>
      <c r="H19" s="1">
        <v>5</v>
      </c>
      <c r="I19" s="1">
        <v>4.5</v>
      </c>
      <c r="J19" s="5">
        <f t="shared" si="0"/>
        <v>1.9333333333333333</v>
      </c>
      <c r="K19" s="1">
        <v>5.0999999999999996</v>
      </c>
      <c r="L19" s="6">
        <f>K19*0.5</f>
        <v>2.5499999999999998</v>
      </c>
      <c r="M19" s="6">
        <v>1.5</v>
      </c>
      <c r="N19" s="6">
        <f t="shared" si="3"/>
        <v>0.15</v>
      </c>
      <c r="O19" s="6">
        <f t="shared" si="1"/>
        <v>4.833333333333333</v>
      </c>
      <c r="P19" s="6">
        <f>INT(O19*10)/10+IF(MOD(O19*10,1)&gt;=0.5,0.1,0)</f>
        <v>4.8</v>
      </c>
      <c r="Q19" s="6" t="str">
        <f>IF(O19&lt;3,3-O19,"No aplica")</f>
        <v>No aplica</v>
      </c>
      <c r="R19" s="1">
        <f t="shared" si="2"/>
        <v>4.95</v>
      </c>
    </row>
    <row r="20" spans="1:18">
      <c r="A20" s="24" t="s">
        <v>47</v>
      </c>
      <c r="B20" s="25"/>
      <c r="C20" s="24" t="s">
        <v>48</v>
      </c>
      <c r="D20" s="25"/>
      <c r="E20" s="5">
        <v>3</v>
      </c>
      <c r="F20" s="1">
        <f>E20*0.1</f>
        <v>0.30000000000000004</v>
      </c>
      <c r="G20" s="1">
        <v>4.7</v>
      </c>
      <c r="H20" s="1">
        <v>5</v>
      </c>
      <c r="I20" s="1">
        <v>5</v>
      </c>
      <c r="J20" s="5">
        <f t="shared" si="0"/>
        <v>1.96</v>
      </c>
      <c r="K20" s="1">
        <v>5.0999999999999996</v>
      </c>
      <c r="L20" s="6">
        <f>K20*0.5</f>
        <v>2.5499999999999998</v>
      </c>
      <c r="M20" s="6">
        <v>1.5</v>
      </c>
      <c r="N20" s="6">
        <f t="shared" si="3"/>
        <v>0.15</v>
      </c>
      <c r="O20" s="6">
        <f t="shared" si="1"/>
        <v>4.8099999999999996</v>
      </c>
      <c r="P20" s="6">
        <f>INT(O20*10)/10+IF(MOD(O20*10,1)&gt;=0.5,0.1,0)</f>
        <v>4.8</v>
      </c>
      <c r="Q20" s="6" t="str">
        <f>IF(O20&lt;3,3-O20,"No aplica")</f>
        <v>No aplica</v>
      </c>
      <c r="R20" s="1">
        <f t="shared" si="2"/>
        <v>4.95</v>
      </c>
    </row>
    <row r="21" spans="1:18">
      <c r="A21" s="24" t="s">
        <v>49</v>
      </c>
      <c r="B21" s="25"/>
      <c r="C21" s="24" t="s">
        <v>50</v>
      </c>
      <c r="D21" s="25"/>
      <c r="E21" s="5">
        <v>1</v>
      </c>
      <c r="F21" s="1">
        <f>E21*0.1</f>
        <v>0.1</v>
      </c>
      <c r="G21" s="1">
        <v>4.7</v>
      </c>
      <c r="H21" s="1">
        <v>5</v>
      </c>
      <c r="I21" s="1">
        <v>5</v>
      </c>
      <c r="J21" s="5">
        <f t="shared" si="0"/>
        <v>1.96</v>
      </c>
      <c r="K21" s="1">
        <v>2</v>
      </c>
      <c r="L21" s="6">
        <f>K21*0.5</f>
        <v>1</v>
      </c>
      <c r="M21" s="6">
        <v>1.5</v>
      </c>
      <c r="N21" s="6">
        <f t="shared" si="3"/>
        <v>0.15</v>
      </c>
      <c r="O21" s="6">
        <f t="shared" si="1"/>
        <v>3.06</v>
      </c>
      <c r="P21" s="6">
        <f>INT(O21*10)/10+IF(MOD(O21*10,1)&gt;=0.5,0.1,0)</f>
        <v>3.1</v>
      </c>
      <c r="Q21" s="6" t="str">
        <f>IF(O21&lt;3,3-O21,"No aplica")</f>
        <v>No aplica</v>
      </c>
      <c r="R21" s="1">
        <f t="shared" si="2"/>
        <v>3.25</v>
      </c>
    </row>
    <row r="22" spans="1:18">
      <c r="A22" s="24" t="s">
        <v>51</v>
      </c>
      <c r="B22" s="25"/>
      <c r="C22" s="24" t="s">
        <v>52</v>
      </c>
      <c r="D22" s="25"/>
      <c r="E22" s="5">
        <v>3</v>
      </c>
      <c r="F22" s="1">
        <f>E22*0.1</f>
        <v>0.30000000000000004</v>
      </c>
      <c r="G22" s="1">
        <v>5</v>
      </c>
      <c r="H22" s="1">
        <v>5</v>
      </c>
      <c r="I22" s="1">
        <v>5</v>
      </c>
      <c r="J22" s="5">
        <f t="shared" si="0"/>
        <v>2</v>
      </c>
      <c r="K22" s="1">
        <v>5.25</v>
      </c>
      <c r="L22" s="6">
        <f>K22*0.5</f>
        <v>2.625</v>
      </c>
      <c r="M22" s="6">
        <v>1.5</v>
      </c>
      <c r="N22" s="6">
        <f t="shared" si="3"/>
        <v>0.15</v>
      </c>
      <c r="O22" s="6">
        <f t="shared" si="1"/>
        <v>4.9249999999999998</v>
      </c>
      <c r="P22" s="6">
        <f>INT(O22*10)/10+IF(MOD(O22*10,1)&gt;=0.5,0.1,0)</f>
        <v>4.9000000000000004</v>
      </c>
      <c r="Q22" s="6" t="str">
        <f>IF(O22&lt;3,3-O22,"No aplica")</f>
        <v>No aplica</v>
      </c>
      <c r="R22" s="1">
        <f t="shared" si="2"/>
        <v>5.0500000000000007</v>
      </c>
    </row>
    <row r="23" spans="1:18">
      <c r="A23" s="24" t="s">
        <v>53</v>
      </c>
      <c r="B23" s="25"/>
      <c r="C23" s="24" t="s">
        <v>54</v>
      </c>
      <c r="D23" s="25"/>
      <c r="E23" s="5">
        <v>3</v>
      </c>
      <c r="F23" s="1">
        <f>E23*0.1</f>
        <v>0.30000000000000004</v>
      </c>
      <c r="G23" s="1">
        <v>5</v>
      </c>
      <c r="H23" s="1">
        <v>4</v>
      </c>
      <c r="I23" s="1">
        <v>5</v>
      </c>
      <c r="J23" s="5">
        <f t="shared" si="0"/>
        <v>1.8666666666666669</v>
      </c>
      <c r="K23" s="1">
        <v>5.2</v>
      </c>
      <c r="L23" s="6">
        <f>K23*0.5</f>
        <v>2.6</v>
      </c>
      <c r="M23" s="6">
        <v>1.5</v>
      </c>
      <c r="N23" s="6">
        <f t="shared" si="3"/>
        <v>0.15</v>
      </c>
      <c r="O23" s="6">
        <f t="shared" si="1"/>
        <v>4.7666666666666666</v>
      </c>
      <c r="P23" s="6">
        <f>INT(O23*10)/10+IF(MOD(O23*10,1)&gt;=0.5,0.1,0)</f>
        <v>4.8</v>
      </c>
      <c r="Q23" s="6" t="str">
        <f>IF(O23&lt;3,3-O23,"No aplica")</f>
        <v>No aplica</v>
      </c>
      <c r="R23" s="1">
        <f t="shared" si="2"/>
        <v>4.95</v>
      </c>
    </row>
    <row r="24" spans="1:18">
      <c r="A24" s="24" t="s">
        <v>55</v>
      </c>
      <c r="B24" s="25"/>
      <c r="C24" s="24" t="s">
        <v>56</v>
      </c>
      <c r="D24" s="25"/>
      <c r="E24" s="5">
        <v>3</v>
      </c>
      <c r="F24" s="1">
        <f>E24*0.1</f>
        <v>0.30000000000000004</v>
      </c>
      <c r="G24" s="1">
        <v>3.5</v>
      </c>
      <c r="H24" s="1">
        <v>5</v>
      </c>
      <c r="I24" s="1">
        <v>5</v>
      </c>
      <c r="J24" s="5">
        <f t="shared" si="0"/>
        <v>1.8</v>
      </c>
      <c r="K24" s="1">
        <v>2.6</v>
      </c>
      <c r="L24" s="6">
        <f>K24*0.5</f>
        <v>1.3</v>
      </c>
      <c r="M24" s="18"/>
      <c r="N24" s="6">
        <f t="shared" si="3"/>
        <v>0</v>
      </c>
      <c r="O24" s="6">
        <f t="shared" si="1"/>
        <v>3.4000000000000004</v>
      </c>
      <c r="P24" s="6">
        <f>INT(O24*10)/10+IF(MOD(O24*10,1)&gt;=0.5,0.1,0)</f>
        <v>3.4</v>
      </c>
      <c r="Q24" s="6" t="str">
        <f>IF(O24&lt;3,3-O24,"No aplica")</f>
        <v>No aplica</v>
      </c>
      <c r="R24" s="1">
        <f t="shared" si="2"/>
        <v>3.4</v>
      </c>
    </row>
    <row r="25" spans="1:18">
      <c r="A25" s="26">
        <v>1141330236</v>
      </c>
      <c r="B25" s="27"/>
      <c r="C25" s="26" t="s">
        <v>59</v>
      </c>
      <c r="D25" s="27"/>
      <c r="E25" s="13">
        <v>0</v>
      </c>
      <c r="F25" s="14">
        <f>E25*0.1</f>
        <v>0</v>
      </c>
      <c r="G25" s="14">
        <v>0</v>
      </c>
      <c r="H25" s="14">
        <v>0</v>
      </c>
      <c r="I25" s="14">
        <v>0</v>
      </c>
      <c r="J25" s="13">
        <f t="shared" si="0"/>
        <v>0</v>
      </c>
      <c r="K25" s="14">
        <v>0</v>
      </c>
      <c r="L25" s="15">
        <f>K25*0.5</f>
        <v>0</v>
      </c>
      <c r="M25" s="15"/>
      <c r="N25" s="15">
        <f t="shared" si="3"/>
        <v>0</v>
      </c>
      <c r="O25" s="15">
        <f t="shared" si="1"/>
        <v>0</v>
      </c>
      <c r="P25" s="15">
        <f>INT(O25*10)/10+IF(MOD(O25*10,1)&gt;=0.5,0.1,0)</f>
        <v>0</v>
      </c>
      <c r="Q25" s="15">
        <f>IF(O25&lt;3,3-O25,"No aplica")</f>
        <v>3</v>
      </c>
      <c r="R25" s="14">
        <f t="shared" si="2"/>
        <v>0</v>
      </c>
    </row>
    <row r="26" spans="1:18">
      <c r="A26" s="24" t="s">
        <v>60</v>
      </c>
      <c r="B26" s="25"/>
      <c r="C26" s="24" t="s">
        <v>61</v>
      </c>
      <c r="D26" s="25"/>
      <c r="E26" s="5">
        <v>3</v>
      </c>
      <c r="F26" s="1">
        <f>E26*0.1</f>
        <v>0.30000000000000004</v>
      </c>
      <c r="G26" s="1">
        <v>5</v>
      </c>
      <c r="H26" s="1">
        <v>5</v>
      </c>
      <c r="I26" s="1">
        <v>5</v>
      </c>
      <c r="J26" s="5">
        <f t="shared" si="0"/>
        <v>2</v>
      </c>
      <c r="K26" s="1">
        <v>2.8</v>
      </c>
      <c r="L26" s="6">
        <f>K26*0.5</f>
        <v>1.4</v>
      </c>
      <c r="M26" s="6"/>
      <c r="N26" s="6">
        <f t="shared" si="3"/>
        <v>0</v>
      </c>
      <c r="O26" s="6">
        <f t="shared" si="1"/>
        <v>3.7</v>
      </c>
      <c r="P26" s="6">
        <f>INT(O26*10)/10+IF(MOD(O26*10,1)&gt;=0.5,0.1,0)</f>
        <v>3.7</v>
      </c>
      <c r="Q26" s="6" t="str">
        <f>IF(O26&lt;3,3-O26,"No aplica")</f>
        <v>No aplica</v>
      </c>
      <c r="R26" s="1">
        <f t="shared" si="2"/>
        <v>3.7</v>
      </c>
    </row>
    <row r="27" spans="1:18">
      <c r="A27" s="24" t="s">
        <v>62</v>
      </c>
      <c r="B27" s="25"/>
      <c r="C27" s="24" t="s">
        <v>63</v>
      </c>
      <c r="D27" s="25"/>
      <c r="E27" s="5">
        <v>2</v>
      </c>
      <c r="F27" s="1">
        <f>E27*0.1</f>
        <v>0.2</v>
      </c>
      <c r="G27" s="1">
        <v>4.5</v>
      </c>
      <c r="H27" s="1">
        <v>4</v>
      </c>
      <c r="I27" s="1">
        <v>3.7</v>
      </c>
      <c r="J27" s="5">
        <f t="shared" si="0"/>
        <v>1.6266666666666667</v>
      </c>
      <c r="K27" s="1">
        <v>3</v>
      </c>
      <c r="L27" s="6">
        <f>K27*0.5</f>
        <v>1.5</v>
      </c>
      <c r="M27" s="6">
        <v>1.5</v>
      </c>
      <c r="N27" s="6">
        <f t="shared" si="3"/>
        <v>0.15</v>
      </c>
      <c r="O27" s="6">
        <f t="shared" si="1"/>
        <v>3.3266666666666671</v>
      </c>
      <c r="P27" s="6">
        <f>INT(O27*10)/10+IF(MOD(O27*10,1)&gt;=0.5,0.1,0)</f>
        <v>3.3</v>
      </c>
      <c r="Q27" s="6" t="str">
        <f>IF(O27&lt;3,3-O27,"No aplica")</f>
        <v>No aplica</v>
      </c>
      <c r="R27" s="1">
        <f t="shared" si="2"/>
        <v>3.4499999999999997</v>
      </c>
    </row>
    <row r="28" spans="1:18">
      <c r="A28" s="24" t="s">
        <v>64</v>
      </c>
      <c r="B28" s="25"/>
      <c r="C28" s="24" t="s">
        <v>65</v>
      </c>
      <c r="D28" s="25"/>
      <c r="E28" s="5">
        <v>3</v>
      </c>
      <c r="F28" s="1">
        <f>E28*0.1</f>
        <v>0.30000000000000004</v>
      </c>
      <c r="G28" s="1">
        <v>4.9000000000000004</v>
      </c>
      <c r="H28" s="1">
        <v>5</v>
      </c>
      <c r="I28" s="1">
        <v>5</v>
      </c>
      <c r="J28" s="5">
        <f t="shared" si="0"/>
        <v>1.9866666666666668</v>
      </c>
      <c r="K28" s="1">
        <v>5.2</v>
      </c>
      <c r="L28" s="6">
        <f>K28*0.5</f>
        <v>2.6</v>
      </c>
      <c r="M28" s="6">
        <v>1.5</v>
      </c>
      <c r="N28" s="6">
        <f t="shared" si="3"/>
        <v>0.15</v>
      </c>
      <c r="O28" s="6">
        <f t="shared" si="1"/>
        <v>4.8866666666666667</v>
      </c>
      <c r="P28" s="6">
        <f>INT(O28*10)/10+IF(MOD(O28*10,1)&gt;=0.5,0.1,0)</f>
        <v>4.8999999999999995</v>
      </c>
      <c r="Q28" s="6" t="str">
        <f>IF(O28&lt;3,3-O28,"No aplica")</f>
        <v>No aplica</v>
      </c>
      <c r="R28" s="1">
        <f t="shared" si="2"/>
        <v>5.05</v>
      </c>
    </row>
    <row r="29" spans="1:18">
      <c r="A29" s="24" t="s">
        <v>66</v>
      </c>
      <c r="B29" s="25"/>
      <c r="C29" s="24" t="s">
        <v>67</v>
      </c>
      <c r="D29" s="25"/>
      <c r="E29" s="5">
        <v>3.5</v>
      </c>
      <c r="F29" s="1">
        <f>E29*0.1</f>
        <v>0.35000000000000003</v>
      </c>
      <c r="G29" s="1">
        <v>5</v>
      </c>
      <c r="H29" s="1">
        <v>5</v>
      </c>
      <c r="I29" s="1">
        <v>5</v>
      </c>
      <c r="J29" s="5">
        <f t="shared" si="0"/>
        <v>2</v>
      </c>
      <c r="K29" s="1">
        <v>5.25</v>
      </c>
      <c r="L29" s="6">
        <f>K29*0.5</f>
        <v>2.625</v>
      </c>
      <c r="M29" s="6">
        <v>1.5</v>
      </c>
      <c r="N29" s="6">
        <f t="shared" si="3"/>
        <v>0.15</v>
      </c>
      <c r="O29" s="6">
        <f t="shared" si="1"/>
        <v>4.9749999999999996</v>
      </c>
      <c r="P29" s="6">
        <f>INT(O29*10)/10+IF(MOD(O29*10,1)&gt;=0.5,0.1,0)</f>
        <v>5</v>
      </c>
      <c r="Q29" s="6" t="str">
        <f>IF(O29&lt;3,3-O29,"No aplica")</f>
        <v>No aplica</v>
      </c>
      <c r="R29" s="1">
        <f t="shared" si="2"/>
        <v>5.15</v>
      </c>
    </row>
    <row r="30" spans="1:18">
      <c r="A30" s="24" t="s">
        <v>68</v>
      </c>
      <c r="B30" s="25"/>
      <c r="C30" s="24" t="s">
        <v>69</v>
      </c>
      <c r="D30" s="25"/>
      <c r="E30" s="5">
        <v>1</v>
      </c>
      <c r="F30" s="1">
        <f>E30*0.1</f>
        <v>0.1</v>
      </c>
      <c r="G30" s="1">
        <v>4.7</v>
      </c>
      <c r="H30" s="1">
        <v>5</v>
      </c>
      <c r="I30" s="1">
        <v>5</v>
      </c>
      <c r="J30" s="5">
        <f t="shared" si="0"/>
        <v>1.96</v>
      </c>
      <c r="K30" s="1">
        <v>5.2</v>
      </c>
      <c r="L30" s="6">
        <f>K30*0.5</f>
        <v>2.6</v>
      </c>
      <c r="M30" s="6">
        <v>1.5</v>
      </c>
      <c r="N30" s="6">
        <f t="shared" si="3"/>
        <v>0.15</v>
      </c>
      <c r="O30" s="6">
        <f t="shared" si="1"/>
        <v>4.66</v>
      </c>
      <c r="P30" s="6">
        <f>INT(O30*10)/10+IF(MOD(O30*10,1)&gt;=0.5,0.1,0)</f>
        <v>4.6999999999999993</v>
      </c>
      <c r="Q30" s="6" t="str">
        <f>IF(O30&lt;3,3-O30,"No aplica")</f>
        <v>No aplica</v>
      </c>
      <c r="R30" s="1">
        <f t="shared" si="2"/>
        <v>4.8499999999999996</v>
      </c>
    </row>
    <row r="31" spans="1:18">
      <c r="A31" s="24" t="s">
        <v>70</v>
      </c>
      <c r="B31" s="25"/>
      <c r="C31" s="24" t="s">
        <v>86</v>
      </c>
      <c r="D31" s="25"/>
      <c r="E31" s="5">
        <v>3.5</v>
      </c>
      <c r="F31" s="1">
        <f>E31*0.1</f>
        <v>0.35000000000000003</v>
      </c>
      <c r="G31" s="1">
        <v>5</v>
      </c>
      <c r="H31" s="1">
        <v>5</v>
      </c>
      <c r="I31" s="1">
        <v>5</v>
      </c>
      <c r="J31" s="5">
        <f t="shared" si="0"/>
        <v>2</v>
      </c>
      <c r="K31" s="1">
        <v>5.25</v>
      </c>
      <c r="L31" s="6">
        <f>K31*0.5</f>
        <v>2.625</v>
      </c>
      <c r="M31" s="6">
        <v>1.5</v>
      </c>
      <c r="N31" s="6">
        <f t="shared" si="3"/>
        <v>0.15</v>
      </c>
      <c r="O31" s="6">
        <f t="shared" si="1"/>
        <v>4.9749999999999996</v>
      </c>
      <c r="P31" s="6">
        <f>INT(O31*10)/10+IF(MOD(O31*10,1)&gt;=0.5,0.1,0)</f>
        <v>5</v>
      </c>
      <c r="Q31" s="6" t="str">
        <f>IF(O31&lt;3,3-O31,"No aplica")</f>
        <v>No aplica</v>
      </c>
      <c r="R31" s="1">
        <f t="shared" si="2"/>
        <v>5.15</v>
      </c>
    </row>
    <row r="32" spans="1:18">
      <c r="A32" s="24" t="s">
        <v>72</v>
      </c>
      <c r="B32" s="25"/>
      <c r="C32" s="24" t="s">
        <v>73</v>
      </c>
      <c r="D32" s="25"/>
      <c r="E32" s="5">
        <v>2.1</v>
      </c>
      <c r="F32" s="1">
        <f>E32*0.1</f>
        <v>0.21000000000000002</v>
      </c>
      <c r="G32" s="1">
        <v>4.7</v>
      </c>
      <c r="H32" s="1">
        <v>5</v>
      </c>
      <c r="I32" s="1">
        <v>4.5999999999999996</v>
      </c>
      <c r="J32" s="5">
        <f t="shared" si="0"/>
        <v>1.9066666666666667</v>
      </c>
      <c r="K32" s="1">
        <v>5</v>
      </c>
      <c r="L32" s="6">
        <f>K32*0.5</f>
        <v>2.5</v>
      </c>
      <c r="M32" s="6">
        <v>1.5</v>
      </c>
      <c r="N32" s="6">
        <f t="shared" si="3"/>
        <v>0.15</v>
      </c>
      <c r="O32" s="6">
        <f t="shared" si="1"/>
        <v>4.6166666666666663</v>
      </c>
      <c r="P32" s="6">
        <f>INT(O32*10)/10+IF(MOD(O32*10,1)&gt;=0.5,0.1,0)</f>
        <v>4.5999999999999996</v>
      </c>
      <c r="Q32" s="6" t="str">
        <f>IF(O32&lt;3,3-O32,"No aplica")</f>
        <v>No aplica</v>
      </c>
      <c r="R32" s="1">
        <f t="shared" si="2"/>
        <v>4.75</v>
      </c>
    </row>
    <row r="33" spans="1:18">
      <c r="A33" s="24" t="s">
        <v>74</v>
      </c>
      <c r="B33" s="25"/>
      <c r="C33" s="24" t="s">
        <v>75</v>
      </c>
      <c r="D33" s="25"/>
      <c r="E33" s="5">
        <v>3</v>
      </c>
      <c r="F33" s="1">
        <f>E33*0.1</f>
        <v>0.30000000000000004</v>
      </c>
      <c r="G33" s="1">
        <v>5</v>
      </c>
      <c r="H33" s="1">
        <v>4.5</v>
      </c>
      <c r="I33" s="1">
        <v>3.9</v>
      </c>
      <c r="J33" s="5">
        <f t="shared" si="0"/>
        <v>1.7866666666666668</v>
      </c>
      <c r="K33" s="1">
        <v>5.2</v>
      </c>
      <c r="L33" s="6">
        <f>K33*0.5</f>
        <v>2.6</v>
      </c>
      <c r="M33" s="6">
        <v>1.5</v>
      </c>
      <c r="N33" s="6">
        <f t="shared" si="3"/>
        <v>0.15</v>
      </c>
      <c r="O33" s="6">
        <f t="shared" si="1"/>
        <v>4.6866666666666665</v>
      </c>
      <c r="P33" s="6">
        <f>INT(O33*10)/10+IF(MOD(O33*10,1)&gt;=0.5,0.1,0)</f>
        <v>4.6999999999999993</v>
      </c>
      <c r="Q33" s="6" t="str">
        <f>IF(O33&lt;3,3-O33,"No aplica")</f>
        <v>No aplica</v>
      </c>
      <c r="R33" s="1">
        <f t="shared" si="2"/>
        <v>4.8499999999999996</v>
      </c>
    </row>
    <row r="34" spans="1:18">
      <c r="A34" s="24" t="s">
        <v>76</v>
      </c>
      <c r="B34" s="25"/>
      <c r="C34" s="24" t="s">
        <v>77</v>
      </c>
      <c r="D34" s="25"/>
      <c r="E34" s="5">
        <v>3</v>
      </c>
      <c r="F34" s="1">
        <f>E34*0.1</f>
        <v>0.30000000000000004</v>
      </c>
      <c r="G34" s="1">
        <v>5</v>
      </c>
      <c r="H34" s="1">
        <v>4.4000000000000004</v>
      </c>
      <c r="I34" s="1">
        <v>5</v>
      </c>
      <c r="J34" s="5">
        <f t="shared" si="0"/>
        <v>1.92</v>
      </c>
      <c r="K34" s="1">
        <v>3.25</v>
      </c>
      <c r="L34" s="6">
        <f>K34*0.5</f>
        <v>1.625</v>
      </c>
      <c r="M34" s="6">
        <v>1.5</v>
      </c>
      <c r="N34" s="6">
        <f t="shared" si="3"/>
        <v>0.15</v>
      </c>
      <c r="O34" s="6">
        <f t="shared" si="1"/>
        <v>3.8449999999999998</v>
      </c>
      <c r="P34" s="6">
        <f>INT(O34*10)/10+IF(MOD(O34*10,1)&gt;=0.5,0.1,0)</f>
        <v>3.8</v>
      </c>
      <c r="Q34" s="6" t="str">
        <f>IF(O34&lt;3,3-O34,"No aplica")</f>
        <v>No aplica</v>
      </c>
      <c r="R34" s="1">
        <f t="shared" si="2"/>
        <v>3.9499999999999997</v>
      </c>
    </row>
    <row r="35" spans="1:18">
      <c r="A35" s="24" t="s">
        <v>78</v>
      </c>
      <c r="B35" s="25"/>
      <c r="C35" s="24" t="s">
        <v>79</v>
      </c>
      <c r="D35" s="25"/>
      <c r="E35" s="5">
        <v>3.5</v>
      </c>
      <c r="F35" s="1">
        <f>E35*0.1</f>
        <v>0.35000000000000003</v>
      </c>
      <c r="G35" s="1">
        <v>3.8</v>
      </c>
      <c r="H35" s="1">
        <v>5</v>
      </c>
      <c r="I35" s="1">
        <v>5</v>
      </c>
      <c r="J35" s="5">
        <f t="shared" si="0"/>
        <v>1.8400000000000003</v>
      </c>
      <c r="K35" s="1">
        <v>5.25</v>
      </c>
      <c r="L35" s="6">
        <f>K35*0.5</f>
        <v>2.625</v>
      </c>
      <c r="M35" s="6">
        <v>1.5</v>
      </c>
      <c r="N35" s="6">
        <f t="shared" si="3"/>
        <v>0.15</v>
      </c>
      <c r="O35" s="6">
        <f t="shared" si="1"/>
        <v>4.8149999999999995</v>
      </c>
      <c r="P35" s="6">
        <f>INT(O35*10)/10+IF(MOD(O35*10,1)&gt;=0.5,0.1,0)</f>
        <v>4.8</v>
      </c>
      <c r="Q35" s="6" t="str">
        <f>IF(O35&lt;3,3-O35,"No aplica")</f>
        <v>No aplica</v>
      </c>
      <c r="R35" s="1">
        <f t="shared" si="2"/>
        <v>4.95</v>
      </c>
    </row>
  </sheetData>
  <autoFilter ref="A7:Q7" xr:uid="{072B3978-089C-4AEE-BC80-49D65BE8ACB3}">
    <filterColumn colId="0" showButton="0"/>
    <filterColumn colId="2" showButton="0"/>
    <sortState xmlns:xlrd2="http://schemas.microsoft.com/office/spreadsheetml/2017/richdata2" ref="A8:Q38">
      <sortCondition ref="C7"/>
    </sortState>
  </autoFilter>
  <mergeCells count="68">
    <mergeCell ref="A34:B34"/>
    <mergeCell ref="C34:D34"/>
    <mergeCell ref="A35:B35"/>
    <mergeCell ref="C35:D35"/>
    <mergeCell ref="A32:B32"/>
    <mergeCell ref="C32:D32"/>
    <mergeCell ref="A33:B33"/>
    <mergeCell ref="C33:D33"/>
    <mergeCell ref="A29:B29"/>
    <mergeCell ref="C29:D29"/>
    <mergeCell ref="A30:B30"/>
    <mergeCell ref="C30:D30"/>
    <mergeCell ref="A31:B31"/>
    <mergeCell ref="C31:D31"/>
    <mergeCell ref="A26:B26"/>
    <mergeCell ref="C26:D26"/>
    <mergeCell ref="A27:B27"/>
    <mergeCell ref="C27:D27"/>
    <mergeCell ref="A28:B28"/>
    <mergeCell ref="C28:D28"/>
    <mergeCell ref="A24:B24"/>
    <mergeCell ref="C24:D24"/>
    <mergeCell ref="A25:B25"/>
    <mergeCell ref="C25:D25"/>
    <mergeCell ref="A21:B21"/>
    <mergeCell ref="C21:D21"/>
    <mergeCell ref="A22:B22"/>
    <mergeCell ref="C22:D22"/>
    <mergeCell ref="A23:B23"/>
    <mergeCell ref="C23:D23"/>
    <mergeCell ref="A19:B19"/>
    <mergeCell ref="C19:D19"/>
    <mergeCell ref="A20:B20"/>
    <mergeCell ref="C20:D20"/>
    <mergeCell ref="A16:B16"/>
    <mergeCell ref="C16:D16"/>
    <mergeCell ref="A17:B17"/>
    <mergeCell ref="C17:D17"/>
    <mergeCell ref="A18:B18"/>
    <mergeCell ref="C18:D18"/>
    <mergeCell ref="A13:B13"/>
    <mergeCell ref="C13:D13"/>
    <mergeCell ref="A14:B14"/>
    <mergeCell ref="C14:D14"/>
    <mergeCell ref="A15:B15"/>
    <mergeCell ref="C15:D15"/>
    <mergeCell ref="A10:B10"/>
    <mergeCell ref="C10:D10"/>
    <mergeCell ref="A11:B11"/>
    <mergeCell ref="C11:D11"/>
    <mergeCell ref="A12:B12"/>
    <mergeCell ref="C12:D12"/>
    <mergeCell ref="A8:B8"/>
    <mergeCell ref="C8:D8"/>
    <mergeCell ref="A9:B9"/>
    <mergeCell ref="C9:D9"/>
    <mergeCell ref="A7:B7"/>
    <mergeCell ref="C7:D7"/>
    <mergeCell ref="A4:B4"/>
    <mergeCell ref="C4:I4"/>
    <mergeCell ref="A6:D6"/>
    <mergeCell ref="G6:I6"/>
    <mergeCell ref="A1:B1"/>
    <mergeCell ref="C1:I1"/>
    <mergeCell ref="A2:B2"/>
    <mergeCell ref="C2:I2"/>
    <mergeCell ref="A3:B3"/>
    <mergeCell ref="C3:I3"/>
  </mergeCells>
  <conditionalFormatting sqref="E8:E35">
    <cfRule type="expression" dxfId="31" priority="7">
      <formula>E8&lt;3</formula>
    </cfRule>
    <cfRule type="expression" dxfId="30" priority="8">
      <formula>E8&gt;=3</formula>
    </cfRule>
  </conditionalFormatting>
  <conditionalFormatting sqref="G8:I35 K8:K35 O8:O35">
    <cfRule type="expression" dxfId="29" priority="15">
      <formula>G8&gt;=3</formula>
    </cfRule>
    <cfRule type="expression" dxfId="28" priority="16">
      <formula>G8&lt;3</formula>
    </cfRule>
  </conditionalFormatting>
  <conditionalFormatting sqref="M8:M35">
    <cfRule type="cellIs" dxfId="27" priority="3" operator="greaterThan">
      <formula>0</formula>
    </cfRule>
    <cfRule type="containsBlanks" dxfId="26" priority="4">
      <formula>LEN(TRIM(M8))=0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31A1-FFAB-4CC4-B8F1-17AB86166B7C}">
  <dimension ref="A1:U35"/>
  <sheetViews>
    <sheetView workbookViewId="0">
      <pane xSplit="4" topLeftCell="E6" activePane="topRight" state="frozen"/>
      <selection pane="topRight" activeCell="L25" sqref="L25"/>
    </sheetView>
  </sheetViews>
  <sheetFormatPr defaultRowHeight="15"/>
  <cols>
    <col min="3" max="3" width="10" customWidth="1"/>
    <col min="4" max="4" width="28.140625" customWidth="1"/>
    <col min="7" max="7" width="18.5703125" customWidth="1"/>
    <col min="8" max="8" width="18.28515625" customWidth="1"/>
    <col min="10" max="10" width="17" customWidth="1"/>
    <col min="14" max="14" width="31.85546875" customWidth="1"/>
    <col min="15" max="15" width="11.140625" customWidth="1"/>
    <col min="18" max="18" width="20.5703125" bestFit="1" customWidth="1"/>
    <col min="19" max="19" width="19.7109375" bestFit="1" customWidth="1"/>
  </cols>
  <sheetData>
    <row r="1" spans="1:21">
      <c r="A1" s="28" t="s">
        <v>0</v>
      </c>
      <c r="B1" s="28"/>
      <c r="C1" s="34" t="s">
        <v>1</v>
      </c>
      <c r="D1" s="34"/>
      <c r="E1" s="34"/>
      <c r="F1" s="34"/>
      <c r="G1" s="34"/>
      <c r="H1" s="34"/>
      <c r="I1" s="34"/>
      <c r="J1" s="34"/>
    </row>
    <row r="2" spans="1:21">
      <c r="A2" s="28" t="s">
        <v>2</v>
      </c>
      <c r="B2" s="28"/>
      <c r="C2" s="34" t="s">
        <v>3</v>
      </c>
      <c r="D2" s="34"/>
      <c r="E2" s="34"/>
      <c r="F2" s="34"/>
      <c r="G2" s="34"/>
      <c r="H2" s="34"/>
      <c r="I2" s="34"/>
      <c r="J2" s="34"/>
    </row>
    <row r="3" spans="1:21">
      <c r="A3" s="36" t="s">
        <v>4</v>
      </c>
      <c r="B3" s="46"/>
      <c r="C3" s="43" t="s">
        <v>5</v>
      </c>
      <c r="D3" s="44"/>
      <c r="E3" s="44"/>
      <c r="F3" s="44"/>
      <c r="G3" s="44"/>
      <c r="H3" s="44"/>
      <c r="I3" s="44"/>
      <c r="J3" s="45"/>
      <c r="M3" s="12"/>
      <c r="N3" s="12"/>
    </row>
    <row r="4" spans="1:21">
      <c r="A4" s="28" t="s">
        <v>6</v>
      </c>
      <c r="B4" s="28"/>
      <c r="C4" s="34" t="s">
        <v>7</v>
      </c>
      <c r="D4" s="34"/>
      <c r="E4" s="34"/>
      <c r="F4" s="34"/>
      <c r="G4" s="34"/>
      <c r="H4" s="34"/>
      <c r="I4" s="34"/>
      <c r="J4" s="34"/>
    </row>
    <row r="6" spans="1:21">
      <c r="A6" s="30" t="s">
        <v>8</v>
      </c>
      <c r="B6" s="30"/>
      <c r="C6" s="30"/>
      <c r="D6" s="30"/>
      <c r="E6" s="2" t="s">
        <v>9</v>
      </c>
      <c r="F6" s="4">
        <v>0.1</v>
      </c>
      <c r="G6" s="31" t="s">
        <v>10</v>
      </c>
      <c r="H6" s="42"/>
      <c r="I6" s="4">
        <v>0.2</v>
      </c>
      <c r="J6" s="2" t="s">
        <v>11</v>
      </c>
      <c r="K6" s="4">
        <v>0.3</v>
      </c>
      <c r="L6" s="2" t="s">
        <v>12</v>
      </c>
      <c r="M6" s="21">
        <v>0.4</v>
      </c>
      <c r="N6" s="21" t="s">
        <v>13</v>
      </c>
      <c r="O6" s="21" t="s">
        <v>14</v>
      </c>
      <c r="P6" s="20" t="s">
        <v>15</v>
      </c>
      <c r="Q6" s="7" t="s">
        <v>16</v>
      </c>
      <c r="R6" s="2" t="s">
        <v>17</v>
      </c>
      <c r="S6" s="2" t="s">
        <v>81</v>
      </c>
    </row>
    <row r="7" spans="1:21">
      <c r="A7" s="32" t="s">
        <v>18</v>
      </c>
      <c r="B7" s="33"/>
      <c r="C7" s="32" t="s">
        <v>19</v>
      </c>
      <c r="D7" s="32"/>
      <c r="E7" s="8" t="s">
        <v>20</v>
      </c>
      <c r="F7" s="8"/>
      <c r="G7" s="19" t="s">
        <v>87</v>
      </c>
      <c r="H7" s="19" t="s">
        <v>88</v>
      </c>
      <c r="I7" s="19"/>
      <c r="J7" s="19" t="s">
        <v>89</v>
      </c>
      <c r="K7" s="22"/>
      <c r="L7" s="19"/>
      <c r="M7" s="23"/>
      <c r="N7" s="23" t="s">
        <v>85</v>
      </c>
      <c r="O7" s="23"/>
      <c r="P7" s="10"/>
      <c r="Q7" s="10"/>
      <c r="R7" s="8"/>
      <c r="S7" s="8"/>
    </row>
    <row r="8" spans="1:21">
      <c r="A8" s="24" t="s">
        <v>25</v>
      </c>
      <c r="B8" s="25"/>
      <c r="C8" s="24" t="s">
        <v>26</v>
      </c>
      <c r="D8" s="25"/>
      <c r="E8" s="5">
        <v>5.15</v>
      </c>
      <c r="F8" s="1">
        <f>E8*0.1</f>
        <v>0.51500000000000001</v>
      </c>
      <c r="G8" s="1">
        <v>5</v>
      </c>
      <c r="H8" s="1">
        <v>0</v>
      </c>
      <c r="I8" s="1">
        <f>AVERAGE(G8:H8)*0.2</f>
        <v>0.5</v>
      </c>
      <c r="J8" s="1">
        <v>0</v>
      </c>
      <c r="K8" s="5">
        <f>J8*0.3</f>
        <v>0</v>
      </c>
      <c r="L8" s="1">
        <v>2.8</v>
      </c>
      <c r="M8" s="6">
        <f>L8*0.4</f>
        <v>1.1199999999999999</v>
      </c>
      <c r="N8" s="6"/>
      <c r="O8" s="6">
        <f>(SUM(N8:N8)/5)*0.3</f>
        <v>0</v>
      </c>
      <c r="P8" s="6">
        <f>F8+I8+K8+M8</f>
        <v>2.1349999999999998</v>
      </c>
      <c r="Q8" s="6">
        <f>INT(P8*10)/10+IF(MOD(P8*10,1)&gt;=0.5,0.1,0)</f>
        <v>2.1</v>
      </c>
      <c r="R8" s="1">
        <f>IF(P8&lt;3,3-P8,"No aplica")</f>
        <v>0.86500000000000021</v>
      </c>
      <c r="S8" s="1">
        <f>Q8+O8</f>
        <v>2.1</v>
      </c>
      <c r="U8">
        <v>0</v>
      </c>
    </row>
    <row r="9" spans="1:21">
      <c r="A9" s="24">
        <v>1059240188</v>
      </c>
      <c r="B9" s="25"/>
      <c r="C9" s="24" t="s">
        <v>80</v>
      </c>
      <c r="D9" s="25"/>
      <c r="E9" s="5">
        <v>5.15</v>
      </c>
      <c r="F9" s="1">
        <f>E9*0.1</f>
        <v>0.51500000000000001</v>
      </c>
      <c r="G9" s="1">
        <v>4</v>
      </c>
      <c r="H9" s="1">
        <v>5</v>
      </c>
      <c r="I9" s="1">
        <f>AVERAGE(G9:H9)*0.2</f>
        <v>0.9</v>
      </c>
      <c r="J9" s="1">
        <v>5</v>
      </c>
      <c r="K9" s="5">
        <f t="shared" ref="K9:K35" si="0">J9*0.3</f>
        <v>1.5</v>
      </c>
      <c r="L9" s="1">
        <v>3.2</v>
      </c>
      <c r="M9" s="6">
        <f t="shared" ref="M9:M35" si="1">L9*0.4</f>
        <v>1.2800000000000002</v>
      </c>
      <c r="N9" s="6">
        <v>1.5</v>
      </c>
      <c r="O9" s="6">
        <f>(SUM(N9:N9)/5)*0.5</f>
        <v>0.15</v>
      </c>
      <c r="P9" s="6">
        <f>F9+I9+K9+M9</f>
        <v>4.1950000000000003</v>
      </c>
      <c r="Q9" s="6">
        <f>INT(P9*10)/10+IF(MOD(P9*10,1)&gt;=0.5,0.1,0)</f>
        <v>4.1999999999999993</v>
      </c>
      <c r="R9" s="1" t="str">
        <f>IF(P9&lt;3,3-P9,"No aplica")</f>
        <v>No aplica</v>
      </c>
      <c r="S9" s="1">
        <f>Q9+O9</f>
        <v>4.3499999999999996</v>
      </c>
      <c r="U9">
        <v>5</v>
      </c>
    </row>
    <row r="10" spans="1:21">
      <c r="A10" s="24" t="s">
        <v>27</v>
      </c>
      <c r="B10" s="25"/>
      <c r="C10" s="24" t="s">
        <v>28</v>
      </c>
      <c r="D10" s="25"/>
      <c r="E10" s="5">
        <v>5.15</v>
      </c>
      <c r="F10" s="1">
        <f>E10*0.1</f>
        <v>0.51500000000000001</v>
      </c>
      <c r="G10" s="1">
        <v>5</v>
      </c>
      <c r="H10" s="1">
        <v>5</v>
      </c>
      <c r="I10" s="1">
        <f>AVERAGE(G10:H10)*0.2</f>
        <v>1</v>
      </c>
      <c r="J10" s="1">
        <v>5</v>
      </c>
      <c r="K10" s="5">
        <f t="shared" si="0"/>
        <v>1.5</v>
      </c>
      <c r="L10" s="1">
        <v>5</v>
      </c>
      <c r="M10" s="6">
        <f t="shared" si="1"/>
        <v>2</v>
      </c>
      <c r="N10" s="6">
        <v>1.5</v>
      </c>
      <c r="O10" s="6">
        <f>(SUM(N10:N10)/5)*0.5</f>
        <v>0.15</v>
      </c>
      <c r="P10" s="6">
        <f>F10+I10+K10+M10</f>
        <v>5.0150000000000006</v>
      </c>
      <c r="Q10" s="6">
        <f>INT(P10*10)/10+IF(MOD(P10*10,1)&gt;=0.5,0.1,0)</f>
        <v>5</v>
      </c>
      <c r="R10" s="1" t="str">
        <f>IF(P10&lt;3,3-P10,"No aplica")</f>
        <v>No aplica</v>
      </c>
      <c r="S10" s="1">
        <f>Q10+O10</f>
        <v>5.15</v>
      </c>
      <c r="U10">
        <v>5</v>
      </c>
    </row>
    <row r="11" spans="1:21">
      <c r="A11" s="24" t="s">
        <v>29</v>
      </c>
      <c r="B11" s="25"/>
      <c r="C11" s="24" t="s">
        <v>30</v>
      </c>
      <c r="D11" s="25"/>
      <c r="E11" s="5">
        <v>5.15</v>
      </c>
      <c r="F11" s="1">
        <f>E11*0.1</f>
        <v>0.51500000000000001</v>
      </c>
      <c r="G11" s="1">
        <v>5</v>
      </c>
      <c r="H11" s="1">
        <v>5</v>
      </c>
      <c r="I11" s="1">
        <f>AVERAGE(G11:H11)*0.2</f>
        <v>1</v>
      </c>
      <c r="J11" s="1">
        <v>4.4000000000000004</v>
      </c>
      <c r="K11" s="5">
        <f t="shared" si="0"/>
        <v>1.32</v>
      </c>
      <c r="L11" s="1">
        <v>3.5</v>
      </c>
      <c r="M11" s="6">
        <f t="shared" si="1"/>
        <v>1.4000000000000001</v>
      </c>
      <c r="N11" s="6">
        <v>1.5</v>
      </c>
      <c r="O11" s="6">
        <f>(SUM(N11:N11)/5)*0.5</f>
        <v>0.15</v>
      </c>
      <c r="P11" s="6">
        <f>F11+I11+K11+M11</f>
        <v>4.2350000000000003</v>
      </c>
      <c r="Q11" s="6">
        <f>INT(P11*10)/10+IF(MOD(P11*10,1)&gt;=0.5,0.1,0)</f>
        <v>4.2</v>
      </c>
      <c r="R11" s="1" t="str">
        <f>IF(P11&lt;3,3-P11,"No aplica")</f>
        <v>No aplica</v>
      </c>
      <c r="S11" s="1">
        <f>Q11+O11</f>
        <v>4.3500000000000005</v>
      </c>
      <c r="U11">
        <v>5</v>
      </c>
    </row>
    <row r="12" spans="1:21">
      <c r="A12" s="24" t="s">
        <v>31</v>
      </c>
      <c r="B12" s="25"/>
      <c r="C12" s="24" t="s">
        <v>32</v>
      </c>
      <c r="D12" s="25"/>
      <c r="E12" s="5">
        <v>5.15</v>
      </c>
      <c r="F12" s="1">
        <f>E12*0.1</f>
        <v>0.51500000000000001</v>
      </c>
      <c r="G12" s="1">
        <v>4.5</v>
      </c>
      <c r="H12" s="1">
        <v>4.5999999999999996</v>
      </c>
      <c r="I12" s="1">
        <f>AVERAGE(G12:H12)*0.2</f>
        <v>0.91</v>
      </c>
      <c r="J12" s="1">
        <v>5</v>
      </c>
      <c r="K12" s="5">
        <f t="shared" si="0"/>
        <v>1.5</v>
      </c>
      <c r="L12" s="1">
        <v>3.5</v>
      </c>
      <c r="M12" s="6">
        <f t="shared" si="1"/>
        <v>1.4000000000000001</v>
      </c>
      <c r="N12" s="6">
        <v>1.5</v>
      </c>
      <c r="O12" s="6">
        <f>(SUM(N12:N12)/5)*0.5</f>
        <v>0.15</v>
      </c>
      <c r="P12" s="6">
        <f>F12+I12+K12+M12</f>
        <v>4.3250000000000002</v>
      </c>
      <c r="Q12" s="6">
        <f>INT(P12*10)/10+IF(MOD(P12*10,1)&gt;=0.5,0.1,0)</f>
        <v>4.3</v>
      </c>
      <c r="R12" s="1" t="str">
        <f>IF(P12&lt;3,3-P12,"No aplica")</f>
        <v>No aplica</v>
      </c>
      <c r="S12" s="1">
        <f>Q12+O12</f>
        <v>4.45</v>
      </c>
      <c r="U12">
        <v>4</v>
      </c>
    </row>
    <row r="13" spans="1:21">
      <c r="A13" s="24" t="s">
        <v>33</v>
      </c>
      <c r="B13" s="25"/>
      <c r="C13" s="24" t="s">
        <v>34</v>
      </c>
      <c r="D13" s="25"/>
      <c r="E13" s="5">
        <v>5.15</v>
      </c>
      <c r="F13" s="1">
        <f>E13*0.1</f>
        <v>0.51500000000000001</v>
      </c>
      <c r="G13" s="1">
        <v>5</v>
      </c>
      <c r="H13" s="1">
        <v>4.8</v>
      </c>
      <c r="I13" s="1">
        <f>AVERAGE(G13:H13)*0.2</f>
        <v>0.98000000000000009</v>
      </c>
      <c r="J13" s="1">
        <v>5</v>
      </c>
      <c r="K13" s="5">
        <f t="shared" si="0"/>
        <v>1.5</v>
      </c>
      <c r="L13" s="1">
        <v>3.8</v>
      </c>
      <c r="M13" s="6">
        <f t="shared" si="1"/>
        <v>1.52</v>
      </c>
      <c r="N13" s="6">
        <v>1.5</v>
      </c>
      <c r="O13" s="6">
        <f>(SUM(N13:N13)/5)*0.5</f>
        <v>0.15</v>
      </c>
      <c r="P13" s="6">
        <f>F13+I13+K13+M13</f>
        <v>4.5150000000000006</v>
      </c>
      <c r="Q13" s="6">
        <f>INT(P13*10)/10+IF(MOD(P13*10,1)&gt;=0.5,0.1,0)</f>
        <v>4.5</v>
      </c>
      <c r="R13" s="1" t="str">
        <f>IF(P13&lt;3,3-P13,"No aplica")</f>
        <v>No aplica</v>
      </c>
      <c r="S13" s="1">
        <f>Q13+O13</f>
        <v>4.6500000000000004</v>
      </c>
      <c r="U13">
        <v>3.8</v>
      </c>
    </row>
    <row r="14" spans="1:21">
      <c r="A14" s="24" t="s">
        <v>35</v>
      </c>
      <c r="B14" s="25"/>
      <c r="C14" s="24" t="s">
        <v>36</v>
      </c>
      <c r="D14" s="25"/>
      <c r="E14" s="5">
        <v>5.15</v>
      </c>
      <c r="F14" s="1">
        <f>E14*0.1</f>
        <v>0.51500000000000001</v>
      </c>
      <c r="G14" s="1">
        <v>5</v>
      </c>
      <c r="H14" s="1">
        <v>5</v>
      </c>
      <c r="I14" s="1">
        <f>AVERAGE(G14:H14)*0.2</f>
        <v>1</v>
      </c>
      <c r="J14" s="1">
        <v>5</v>
      </c>
      <c r="K14" s="5">
        <f t="shared" si="0"/>
        <v>1.5</v>
      </c>
      <c r="L14" s="1">
        <v>3.8</v>
      </c>
      <c r="M14" s="6">
        <f t="shared" si="1"/>
        <v>1.52</v>
      </c>
      <c r="N14" s="6">
        <v>1.5</v>
      </c>
      <c r="O14" s="6">
        <f>(SUM(N14:N14)/5)*0.5</f>
        <v>0.15</v>
      </c>
      <c r="P14" s="6">
        <f>F14+I14+K14+M14</f>
        <v>4.5350000000000001</v>
      </c>
      <c r="Q14" s="6">
        <f>INT(P14*10)/10+IF(MOD(P14*10,1)&gt;=0.5,0.1,0)</f>
        <v>4.5</v>
      </c>
      <c r="R14" s="1" t="str">
        <f>IF(P14&lt;3,3-P14,"No aplica")</f>
        <v>No aplica</v>
      </c>
      <c r="S14" s="1">
        <f>Q14+O14</f>
        <v>4.6500000000000004</v>
      </c>
      <c r="U14">
        <v>5</v>
      </c>
    </row>
    <row r="15" spans="1:21">
      <c r="A15" s="24" t="s">
        <v>37</v>
      </c>
      <c r="B15" s="25"/>
      <c r="C15" s="24" t="s">
        <v>38</v>
      </c>
      <c r="D15" s="25"/>
      <c r="E15" s="5">
        <v>5.15</v>
      </c>
      <c r="F15" s="1">
        <f>E15*0.1</f>
        <v>0.51500000000000001</v>
      </c>
      <c r="G15" s="1">
        <v>5</v>
      </c>
      <c r="H15" s="1">
        <v>5</v>
      </c>
      <c r="I15" s="1">
        <f>AVERAGE(G15:H15)*0.2</f>
        <v>1</v>
      </c>
      <c r="J15" s="1">
        <v>4.4000000000000004</v>
      </c>
      <c r="K15" s="5">
        <f t="shared" si="0"/>
        <v>1.32</v>
      </c>
      <c r="L15" s="1">
        <v>5</v>
      </c>
      <c r="M15" s="6">
        <f t="shared" si="1"/>
        <v>2</v>
      </c>
      <c r="N15" s="6">
        <v>1.5</v>
      </c>
      <c r="O15" s="6">
        <f>(SUM(N15:N15)/5)*0.5</f>
        <v>0.15</v>
      </c>
      <c r="P15" s="6">
        <f>F15+I15+K15+M15</f>
        <v>4.835</v>
      </c>
      <c r="Q15" s="6">
        <f>INT(P15*10)/10+IF(MOD(P15*10,1)&gt;=0.5,0.1,0)</f>
        <v>4.8</v>
      </c>
      <c r="R15" s="1" t="str">
        <f>IF(P15&lt;3,3-P15,"No aplica")</f>
        <v>No aplica</v>
      </c>
      <c r="S15" s="1">
        <f>Q15+O15</f>
        <v>4.95</v>
      </c>
      <c r="U15">
        <v>5</v>
      </c>
    </row>
    <row r="16" spans="1:21">
      <c r="A16" s="24" t="s">
        <v>39</v>
      </c>
      <c r="B16" s="25"/>
      <c r="C16" s="24" t="s">
        <v>40</v>
      </c>
      <c r="D16" s="25"/>
      <c r="E16" s="5">
        <v>5.15</v>
      </c>
      <c r="F16" s="1">
        <f>E16*0.1</f>
        <v>0.51500000000000001</v>
      </c>
      <c r="G16" s="1">
        <v>4.8</v>
      </c>
      <c r="H16" s="1">
        <v>5</v>
      </c>
      <c r="I16" s="1">
        <f>AVERAGE(G16:H16)*0.2</f>
        <v>0.98000000000000009</v>
      </c>
      <c r="J16" s="1">
        <v>5</v>
      </c>
      <c r="K16" s="5">
        <f t="shared" si="0"/>
        <v>1.5</v>
      </c>
      <c r="L16" s="1">
        <v>4</v>
      </c>
      <c r="M16" s="6">
        <f t="shared" si="1"/>
        <v>1.6</v>
      </c>
      <c r="N16" s="6">
        <v>1.5</v>
      </c>
      <c r="O16" s="6">
        <f>(SUM(N16:N16)/5)*0.5</f>
        <v>0.15</v>
      </c>
      <c r="P16" s="6">
        <f>F16+I16+K16+M16</f>
        <v>4.5950000000000006</v>
      </c>
      <c r="Q16" s="6">
        <f>INT(P16*10)/10+IF(MOD(P16*10,1)&gt;=0.5,0.1,0)</f>
        <v>4.5999999999999996</v>
      </c>
      <c r="R16" s="1" t="str">
        <f>IF(P16&lt;3,3-P16,"No aplica")</f>
        <v>No aplica</v>
      </c>
      <c r="S16" s="1">
        <f>Q16+O16</f>
        <v>4.75</v>
      </c>
      <c r="U16">
        <v>4</v>
      </c>
    </row>
    <row r="17" spans="1:21">
      <c r="A17" s="24" t="s">
        <v>41</v>
      </c>
      <c r="B17" s="25"/>
      <c r="C17" s="24" t="s">
        <v>42</v>
      </c>
      <c r="D17" s="25"/>
      <c r="E17" s="5">
        <v>3.9</v>
      </c>
      <c r="F17" s="1">
        <f>E17*0.1</f>
        <v>0.39</v>
      </c>
      <c r="G17" s="1">
        <v>5</v>
      </c>
      <c r="H17" s="1">
        <v>3</v>
      </c>
      <c r="I17" s="1">
        <f>AVERAGE(G17:H17)*0.2</f>
        <v>0.8</v>
      </c>
      <c r="J17" s="1">
        <v>4.7</v>
      </c>
      <c r="K17" s="5">
        <f t="shared" si="0"/>
        <v>1.41</v>
      </c>
      <c r="L17" s="1">
        <v>3.2</v>
      </c>
      <c r="M17" s="6">
        <f t="shared" si="1"/>
        <v>1.2800000000000002</v>
      </c>
      <c r="N17" s="6">
        <v>1.5</v>
      </c>
      <c r="O17" s="6">
        <f>(SUM(N17:N17)/5)*0.5</f>
        <v>0.15</v>
      </c>
      <c r="P17" s="6">
        <f>F17+I17+K17+M17</f>
        <v>3.88</v>
      </c>
      <c r="Q17" s="6">
        <f>INT(P17*10)/10+IF(MOD(P17*10,1)&gt;=0.5,0.1,0)</f>
        <v>3.9</v>
      </c>
      <c r="R17" s="1" t="str">
        <f>IF(P17&lt;3,3-P17,"No aplica")</f>
        <v>No aplica</v>
      </c>
      <c r="S17" s="1">
        <f>Q17+O17</f>
        <v>4.05</v>
      </c>
      <c r="U17">
        <v>4.5</v>
      </c>
    </row>
    <row r="18" spans="1:21">
      <c r="A18" s="24" t="s">
        <v>43</v>
      </c>
      <c r="B18" s="25"/>
      <c r="C18" s="24" t="s">
        <v>44</v>
      </c>
      <c r="D18" s="25"/>
      <c r="E18" s="5">
        <v>3.9</v>
      </c>
      <c r="F18" s="1">
        <f>E18*0.1</f>
        <v>0.39</v>
      </c>
      <c r="G18" s="1">
        <v>5</v>
      </c>
      <c r="H18" s="1">
        <v>5</v>
      </c>
      <c r="I18" s="1">
        <f>AVERAGE(G18:H18)*0.2</f>
        <v>1</v>
      </c>
      <c r="J18" s="1">
        <v>4.7</v>
      </c>
      <c r="K18" s="5">
        <f t="shared" si="0"/>
        <v>1.41</v>
      </c>
      <c r="L18" s="1">
        <v>2.8</v>
      </c>
      <c r="M18" s="6">
        <f t="shared" si="1"/>
        <v>1.1199999999999999</v>
      </c>
      <c r="N18" s="6">
        <v>1.5</v>
      </c>
      <c r="O18" s="6">
        <f>(SUM(N18:N18)/5)*0.5</f>
        <v>0.15</v>
      </c>
      <c r="P18" s="6">
        <f>F18+I18+K18+M18</f>
        <v>3.92</v>
      </c>
      <c r="Q18" s="6">
        <f>INT(P18*10)/10+IF(MOD(P18*10,1)&gt;=0.5,0.1,0)</f>
        <v>3.9</v>
      </c>
      <c r="R18" s="1" t="str">
        <f>IF(P18&lt;3,3-P18,"No aplica")</f>
        <v>No aplica</v>
      </c>
      <c r="S18" s="1">
        <f>Q18+O18</f>
        <v>4.05</v>
      </c>
      <c r="U18">
        <v>4.5</v>
      </c>
    </row>
    <row r="19" spans="1:21">
      <c r="A19" s="24" t="s">
        <v>45</v>
      </c>
      <c r="B19" s="25"/>
      <c r="C19" s="24" t="s">
        <v>46</v>
      </c>
      <c r="D19" s="25"/>
      <c r="E19" s="5">
        <v>5.15</v>
      </c>
      <c r="F19" s="1">
        <f>E19*0.1</f>
        <v>0.51500000000000001</v>
      </c>
      <c r="G19" s="1">
        <v>4.5</v>
      </c>
      <c r="H19" s="1">
        <v>5</v>
      </c>
      <c r="I19" s="1">
        <f>AVERAGE(G19:H19)*0.2</f>
        <v>0.95000000000000007</v>
      </c>
      <c r="J19" s="1">
        <v>5</v>
      </c>
      <c r="K19" s="5">
        <f t="shared" si="0"/>
        <v>1.5</v>
      </c>
      <c r="L19" s="1">
        <v>4</v>
      </c>
      <c r="M19" s="6">
        <f t="shared" si="1"/>
        <v>1.6</v>
      </c>
      <c r="N19" s="6">
        <v>1.5</v>
      </c>
      <c r="O19" s="6">
        <f>(SUM(N19:N19)/5)*0.5</f>
        <v>0.15</v>
      </c>
      <c r="P19" s="6">
        <f>F19+I19+K19+M19</f>
        <v>4.5649999999999995</v>
      </c>
      <c r="Q19" s="6">
        <f>INT(P19*10)/10+IF(MOD(P19*10,1)&gt;=0.5,0.1,0)</f>
        <v>4.5999999999999996</v>
      </c>
      <c r="R19" s="1" t="str">
        <f>IF(P19&lt;3,3-P19,"No aplica")</f>
        <v>No aplica</v>
      </c>
      <c r="S19" s="1">
        <f>Q19+O19</f>
        <v>4.75</v>
      </c>
      <c r="U19">
        <v>4.5</v>
      </c>
    </row>
    <row r="20" spans="1:21">
      <c r="A20" s="24" t="s">
        <v>47</v>
      </c>
      <c r="B20" s="25"/>
      <c r="C20" s="24" t="s">
        <v>48</v>
      </c>
      <c r="D20" s="25"/>
      <c r="E20" s="5">
        <v>5.15</v>
      </c>
      <c r="F20" s="1">
        <f>E20*0.1</f>
        <v>0.51500000000000001</v>
      </c>
      <c r="G20" s="1">
        <v>4.5</v>
      </c>
      <c r="H20" s="1">
        <v>5</v>
      </c>
      <c r="I20" s="1">
        <f>AVERAGE(G20:H20)*0.2</f>
        <v>0.95000000000000007</v>
      </c>
      <c r="J20" s="1">
        <v>5</v>
      </c>
      <c r="K20" s="5">
        <f t="shared" si="0"/>
        <v>1.5</v>
      </c>
      <c r="L20" s="1">
        <v>4</v>
      </c>
      <c r="M20" s="6">
        <f t="shared" si="1"/>
        <v>1.6</v>
      </c>
      <c r="N20" s="6">
        <v>1.5</v>
      </c>
      <c r="O20" s="6">
        <f>(SUM(N20:N20)/5)*0.5</f>
        <v>0.15</v>
      </c>
      <c r="P20" s="6">
        <f>F20+I20+K20+M20</f>
        <v>4.5649999999999995</v>
      </c>
      <c r="Q20" s="6">
        <f>INT(P20*10)/10+IF(MOD(P20*10,1)&gt;=0.5,0.1,0)</f>
        <v>4.5999999999999996</v>
      </c>
      <c r="R20" s="1" t="str">
        <f>IF(P20&lt;3,3-P20,"No aplica")</f>
        <v>No aplica</v>
      </c>
      <c r="S20" s="1">
        <f>Q20+O20</f>
        <v>4.75</v>
      </c>
      <c r="U20">
        <v>3.8</v>
      </c>
    </row>
    <row r="21" spans="1:21">
      <c r="A21" s="24" t="s">
        <v>49</v>
      </c>
      <c r="B21" s="25"/>
      <c r="C21" s="24" t="s">
        <v>50</v>
      </c>
      <c r="D21" s="25"/>
      <c r="E21" s="5">
        <v>3.8</v>
      </c>
      <c r="F21" s="1">
        <f>E21*0.1</f>
        <v>0.38</v>
      </c>
      <c r="G21" s="1">
        <v>4.5</v>
      </c>
      <c r="H21" s="1">
        <v>5</v>
      </c>
      <c r="I21" s="1">
        <f>AVERAGE(G21:H21)*0.2</f>
        <v>0.95000000000000007</v>
      </c>
      <c r="J21" s="1">
        <v>3.3</v>
      </c>
      <c r="K21" s="5">
        <f t="shared" si="0"/>
        <v>0.98999999999999988</v>
      </c>
      <c r="L21" s="1">
        <v>3.8</v>
      </c>
      <c r="M21" s="6">
        <f t="shared" si="1"/>
        <v>1.52</v>
      </c>
      <c r="N21" s="6">
        <v>1.5</v>
      </c>
      <c r="O21" s="6">
        <f>(SUM(N21:N21)/5)*0.5</f>
        <v>0.15</v>
      </c>
      <c r="P21" s="6">
        <f>F21+I21+K21+M21</f>
        <v>3.84</v>
      </c>
      <c r="Q21" s="6">
        <f>INT(P21*10)/10+IF(MOD(P21*10,1)&gt;=0.5,0.1,0)</f>
        <v>3.8</v>
      </c>
      <c r="R21" s="1" t="str">
        <f>IF(P21&lt;3,3-P21,"No aplica")</f>
        <v>No aplica</v>
      </c>
      <c r="S21" s="1">
        <f>Q21+O21</f>
        <v>3.9499999999999997</v>
      </c>
    </row>
    <row r="22" spans="1:21">
      <c r="A22" s="24" t="s">
        <v>51</v>
      </c>
      <c r="B22" s="25"/>
      <c r="C22" s="24" t="s">
        <v>52</v>
      </c>
      <c r="D22" s="25"/>
      <c r="E22" s="5">
        <v>4.2</v>
      </c>
      <c r="F22" s="1">
        <f>E22*0.1</f>
        <v>0.42000000000000004</v>
      </c>
      <c r="G22" s="1">
        <v>5</v>
      </c>
      <c r="H22" s="1">
        <v>5</v>
      </c>
      <c r="I22" s="1">
        <f>AVERAGE(G22:H22)*0.2</f>
        <v>1</v>
      </c>
      <c r="J22" s="1">
        <v>5</v>
      </c>
      <c r="K22" s="5">
        <f t="shared" si="0"/>
        <v>1.5</v>
      </c>
      <c r="L22" s="1">
        <v>3</v>
      </c>
      <c r="M22" s="6">
        <f t="shared" si="1"/>
        <v>1.2000000000000002</v>
      </c>
      <c r="N22" s="6">
        <v>1.5</v>
      </c>
      <c r="O22" s="6">
        <f>(SUM(N22:N22)/5)*0.5</f>
        <v>0.15</v>
      </c>
      <c r="P22" s="6">
        <f>F22+I22+K22+M22</f>
        <v>4.12</v>
      </c>
      <c r="Q22" s="6">
        <f>INT(P22*10)/10+IF(MOD(P22*10,1)&gt;=0.5,0.1,0)</f>
        <v>4.0999999999999996</v>
      </c>
      <c r="R22" s="1" t="str">
        <f>IF(P22&lt;3,3-P22,"No aplica")</f>
        <v>No aplica</v>
      </c>
      <c r="S22" s="1">
        <f>Q22+O22</f>
        <v>4.25</v>
      </c>
      <c r="U22">
        <v>5</v>
      </c>
    </row>
    <row r="23" spans="1:21">
      <c r="A23" s="24" t="s">
        <v>53</v>
      </c>
      <c r="B23" s="25"/>
      <c r="C23" s="24" t="s">
        <v>54</v>
      </c>
      <c r="D23" s="25"/>
      <c r="E23" s="5">
        <v>5.15</v>
      </c>
      <c r="F23" s="1">
        <f>E23*0.1</f>
        <v>0.51500000000000001</v>
      </c>
      <c r="G23" s="1">
        <v>5</v>
      </c>
      <c r="H23" s="1">
        <v>5</v>
      </c>
      <c r="I23" s="1">
        <f>AVERAGE(G23:H23)*0.2</f>
        <v>1</v>
      </c>
      <c r="J23" s="1">
        <v>5</v>
      </c>
      <c r="K23" s="5">
        <f t="shared" si="0"/>
        <v>1.5</v>
      </c>
      <c r="L23" s="1">
        <v>3.8</v>
      </c>
      <c r="M23" s="6">
        <f t="shared" si="1"/>
        <v>1.52</v>
      </c>
      <c r="N23" s="6">
        <v>1.5</v>
      </c>
      <c r="O23" s="6">
        <f>(SUM(N23:N23)/5)*0.5</f>
        <v>0.15</v>
      </c>
      <c r="P23" s="6">
        <f>F23+I23+K23+M23</f>
        <v>4.5350000000000001</v>
      </c>
      <c r="Q23" s="6">
        <f>INT(P23*10)/10+IF(MOD(P23*10,1)&gt;=0.5,0.1,0)</f>
        <v>4.5</v>
      </c>
      <c r="R23" s="1" t="str">
        <f>IF(P23&lt;3,3-P23,"No aplica")</f>
        <v>No aplica</v>
      </c>
      <c r="S23" s="1">
        <f>Q23+O23</f>
        <v>4.6500000000000004</v>
      </c>
      <c r="U23">
        <v>5</v>
      </c>
    </row>
    <row r="24" spans="1:21">
      <c r="A24" s="24" t="s">
        <v>55</v>
      </c>
      <c r="B24" s="25"/>
      <c r="C24" s="24" t="s">
        <v>56</v>
      </c>
      <c r="D24" s="25"/>
      <c r="E24" s="5">
        <v>5.15</v>
      </c>
      <c r="F24" s="1">
        <f>E24*0.1</f>
        <v>0.51500000000000001</v>
      </c>
      <c r="G24" s="1">
        <v>4.5</v>
      </c>
      <c r="H24" s="1">
        <v>5</v>
      </c>
      <c r="I24" s="1">
        <f>AVERAGE(G24:H24)*0.2</f>
        <v>0.95000000000000007</v>
      </c>
      <c r="J24" s="1">
        <v>0</v>
      </c>
      <c r="K24" s="5">
        <f t="shared" si="0"/>
        <v>0</v>
      </c>
      <c r="L24" s="1">
        <v>0</v>
      </c>
      <c r="M24" s="6">
        <f t="shared" si="1"/>
        <v>0</v>
      </c>
      <c r="N24" s="6">
        <v>1.5</v>
      </c>
      <c r="O24" s="6">
        <f>(SUM(N24:N24)/5)*0.5</f>
        <v>0.15</v>
      </c>
      <c r="P24" s="6">
        <f>F24+I24+K24+M24</f>
        <v>1.4650000000000001</v>
      </c>
      <c r="Q24" s="6">
        <f>INT(P24*10)/10+IF(MOD(P24*10,1)&gt;=0.5,0.1,0)</f>
        <v>1.5</v>
      </c>
      <c r="R24" s="1">
        <f>IF(P24&lt;3,3-P24,"No aplica")</f>
        <v>1.5349999999999999</v>
      </c>
      <c r="S24" s="1">
        <f>Q24+O24</f>
        <v>1.65</v>
      </c>
      <c r="U24">
        <v>0</v>
      </c>
    </row>
    <row r="25" spans="1:21">
      <c r="A25" s="26">
        <v>1141330236</v>
      </c>
      <c r="B25" s="27"/>
      <c r="C25" s="26" t="s">
        <v>59</v>
      </c>
      <c r="D25" s="27"/>
      <c r="E25" s="13">
        <v>0</v>
      </c>
      <c r="F25" s="14">
        <f>E25*0.1</f>
        <v>0</v>
      </c>
      <c r="G25" s="14">
        <v>0</v>
      </c>
      <c r="H25" s="14">
        <v>0</v>
      </c>
      <c r="I25" s="1">
        <f>AVERAGE(G25:H25)*0.2</f>
        <v>0</v>
      </c>
      <c r="J25" s="14">
        <v>0</v>
      </c>
      <c r="K25" s="5">
        <f t="shared" si="0"/>
        <v>0</v>
      </c>
      <c r="L25" s="14">
        <v>0</v>
      </c>
      <c r="M25" s="6">
        <f t="shared" si="1"/>
        <v>0</v>
      </c>
      <c r="N25" s="18"/>
      <c r="O25" s="15">
        <f>(SUM(N25:N25)/5)*0.5</f>
        <v>0</v>
      </c>
      <c r="P25" s="6">
        <f>F25+I25+K25+M25</f>
        <v>0</v>
      </c>
      <c r="Q25" s="15">
        <f>INT(P25*10)/10+IF(MOD(P25*10,1)&gt;=0.5,0.1,0)</f>
        <v>0</v>
      </c>
      <c r="R25" s="14">
        <f>IF(P25&lt;3,3-P25,"No aplica")</f>
        <v>3</v>
      </c>
      <c r="S25" s="14">
        <f>Q25+O25</f>
        <v>0</v>
      </c>
    </row>
    <row r="26" spans="1:21">
      <c r="A26" s="24" t="s">
        <v>60</v>
      </c>
      <c r="B26" s="25"/>
      <c r="C26" s="24" t="s">
        <v>61</v>
      </c>
      <c r="D26" s="25"/>
      <c r="E26" s="5">
        <v>4.5</v>
      </c>
      <c r="F26" s="1">
        <f>E26*0.1</f>
        <v>0.45</v>
      </c>
      <c r="G26" s="1">
        <v>4.5999999999999996</v>
      </c>
      <c r="H26" s="1">
        <v>5</v>
      </c>
      <c r="I26" s="1">
        <f>AVERAGE(G26:H26)*0.2</f>
        <v>0.96</v>
      </c>
      <c r="J26" s="1">
        <v>5</v>
      </c>
      <c r="K26" s="5">
        <f t="shared" si="0"/>
        <v>1.5</v>
      </c>
      <c r="L26" s="1">
        <v>5</v>
      </c>
      <c r="M26" s="6">
        <f t="shared" si="1"/>
        <v>2</v>
      </c>
      <c r="N26" s="6"/>
      <c r="O26" s="6">
        <f>(SUM(N26:N26)/5)*0.5</f>
        <v>0</v>
      </c>
      <c r="P26" s="6">
        <f>F26+I26+K26+M26</f>
        <v>4.91</v>
      </c>
      <c r="Q26" s="6">
        <f>INT(P26*10)/10+IF(MOD(P26*10,1)&gt;=0.5,0.1,0)</f>
        <v>4.9000000000000004</v>
      </c>
      <c r="R26" s="1" t="str">
        <f>IF(P26&lt;3,3-P26,"No aplica")</f>
        <v>No aplica</v>
      </c>
      <c r="S26" s="1">
        <f>Q26+O26</f>
        <v>4.9000000000000004</v>
      </c>
      <c r="U26">
        <v>3.5</v>
      </c>
    </row>
    <row r="27" spans="1:21">
      <c r="A27" s="24" t="s">
        <v>62</v>
      </c>
      <c r="B27" s="25"/>
      <c r="C27" s="24" t="s">
        <v>63</v>
      </c>
      <c r="D27" s="25"/>
      <c r="E27" s="5">
        <v>3.9</v>
      </c>
      <c r="F27" s="1">
        <f>E27*0.1</f>
        <v>0.39</v>
      </c>
      <c r="G27" s="1">
        <v>4.9000000000000004</v>
      </c>
      <c r="H27" s="1">
        <v>5</v>
      </c>
      <c r="I27" s="1">
        <f>AVERAGE(G27:H27)*0.2</f>
        <v>0.9900000000000001</v>
      </c>
      <c r="J27" s="1">
        <v>4.7</v>
      </c>
      <c r="K27" s="5">
        <f t="shared" si="0"/>
        <v>1.41</v>
      </c>
      <c r="L27" s="1">
        <v>3.5</v>
      </c>
      <c r="M27" s="6">
        <f t="shared" si="1"/>
        <v>1.4000000000000001</v>
      </c>
      <c r="N27" s="6"/>
      <c r="O27" s="6">
        <f>(SUM(N27:N27)/5)*0.5</f>
        <v>0</v>
      </c>
      <c r="P27" s="6">
        <f>F27+I27+K27+M27</f>
        <v>4.1900000000000004</v>
      </c>
      <c r="Q27" s="6">
        <f>INT(P27*10)/10+IF(MOD(P27*10,1)&gt;=0.5,0.1,0)</f>
        <v>4.1999999999999993</v>
      </c>
      <c r="R27" s="1" t="str">
        <f>IF(P27&lt;3,3-P27,"No aplica")</f>
        <v>No aplica</v>
      </c>
      <c r="S27" s="1">
        <f>Q27+O27</f>
        <v>4.1999999999999993</v>
      </c>
      <c r="U27">
        <v>4.5</v>
      </c>
    </row>
    <row r="28" spans="1:21">
      <c r="A28" s="24" t="s">
        <v>64</v>
      </c>
      <c r="B28" s="25"/>
      <c r="C28" s="24" t="s">
        <v>65</v>
      </c>
      <c r="D28" s="25"/>
      <c r="E28" s="5">
        <v>5.15</v>
      </c>
      <c r="F28" s="1">
        <f>E28*0.1</f>
        <v>0.51500000000000001</v>
      </c>
      <c r="G28" s="1">
        <v>5</v>
      </c>
      <c r="H28" s="1">
        <v>5</v>
      </c>
      <c r="I28" s="1">
        <f>AVERAGE(G28:H28)*0.2</f>
        <v>1</v>
      </c>
      <c r="J28" s="1">
        <v>3.9</v>
      </c>
      <c r="K28" s="5">
        <f t="shared" si="0"/>
        <v>1.17</v>
      </c>
      <c r="L28" s="1">
        <v>5</v>
      </c>
      <c r="M28" s="6">
        <f t="shared" si="1"/>
        <v>2</v>
      </c>
      <c r="N28" s="6">
        <v>1.5</v>
      </c>
      <c r="O28" s="6">
        <f>(SUM(N28:N28)/5)*0.5</f>
        <v>0.15</v>
      </c>
      <c r="P28" s="6">
        <f>F28+I28+K28+M28</f>
        <v>4.6850000000000005</v>
      </c>
      <c r="Q28" s="6">
        <f>INT(P28*10)/10+IF(MOD(P28*10,1)&gt;=0.5,0.1,0)</f>
        <v>4.6999999999999993</v>
      </c>
      <c r="R28" s="1" t="str">
        <f>IF(P28&lt;3,3-P28,"No aplica")</f>
        <v>No aplica</v>
      </c>
      <c r="S28" s="1">
        <f>Q28+O28</f>
        <v>4.8499999999999996</v>
      </c>
      <c r="U28">
        <v>4</v>
      </c>
    </row>
    <row r="29" spans="1:21">
      <c r="A29" s="24" t="s">
        <v>66</v>
      </c>
      <c r="B29" s="25"/>
      <c r="C29" s="24" t="s">
        <v>67</v>
      </c>
      <c r="D29" s="25"/>
      <c r="E29" s="5">
        <v>5.15</v>
      </c>
      <c r="F29" s="1">
        <f>E29*0.1</f>
        <v>0.51500000000000001</v>
      </c>
      <c r="G29" s="1">
        <v>5</v>
      </c>
      <c r="H29" s="1">
        <v>4.8</v>
      </c>
      <c r="I29" s="1">
        <f>AVERAGE(G29:H29)*0.2</f>
        <v>0.98000000000000009</v>
      </c>
      <c r="J29" s="1">
        <v>5</v>
      </c>
      <c r="K29" s="5">
        <f t="shared" si="0"/>
        <v>1.5</v>
      </c>
      <c r="L29" s="1">
        <v>3.2</v>
      </c>
      <c r="M29" s="6">
        <f t="shared" si="1"/>
        <v>1.2800000000000002</v>
      </c>
      <c r="N29" s="6">
        <v>1.5</v>
      </c>
      <c r="O29" s="6">
        <f>(SUM(N29:N29)/5)*0.5</f>
        <v>0.15</v>
      </c>
      <c r="P29" s="6">
        <f>F29+I29+K29+M29</f>
        <v>4.2750000000000004</v>
      </c>
      <c r="Q29" s="6">
        <f>INT(P29*10)/10+IF(MOD(P29*10,1)&gt;=0.5,0.1,0)</f>
        <v>4.3</v>
      </c>
      <c r="R29" s="1" t="str">
        <f>IF(P29&lt;3,3-P29,"No aplica")</f>
        <v>No aplica</v>
      </c>
      <c r="S29" s="1">
        <f>Q29+O29</f>
        <v>4.45</v>
      </c>
      <c r="U29">
        <v>4.5</v>
      </c>
    </row>
    <row r="30" spans="1:21">
      <c r="A30" s="24" t="s">
        <v>68</v>
      </c>
      <c r="B30" s="25"/>
      <c r="C30" s="24" t="s">
        <v>69</v>
      </c>
      <c r="D30" s="25"/>
      <c r="E30" s="5">
        <v>3.5</v>
      </c>
      <c r="F30" s="1">
        <f>E30*0.1</f>
        <v>0.35000000000000003</v>
      </c>
      <c r="G30" s="1">
        <v>4</v>
      </c>
      <c r="H30" s="1">
        <v>5</v>
      </c>
      <c r="I30" s="1">
        <f>AVERAGE(G30:H30)*0.2</f>
        <v>0.9</v>
      </c>
      <c r="J30" s="1">
        <v>4.4000000000000004</v>
      </c>
      <c r="K30" s="5">
        <f t="shared" si="0"/>
        <v>1.32</v>
      </c>
      <c r="L30" s="1">
        <v>3</v>
      </c>
      <c r="M30" s="6">
        <f t="shared" si="1"/>
        <v>1.2000000000000002</v>
      </c>
      <c r="N30" s="6">
        <v>1.5</v>
      </c>
      <c r="O30" s="6">
        <f>(SUM(N30:N30)/5)*0.5</f>
        <v>0.15</v>
      </c>
      <c r="P30" s="6">
        <f>F30+I30+K30+M30</f>
        <v>3.7700000000000005</v>
      </c>
      <c r="Q30" s="6">
        <f>INT(P30*10)/10+IF(MOD(P30*10,1)&gt;=0.5,0.1,0)</f>
        <v>3.8000000000000003</v>
      </c>
      <c r="R30" s="1" t="str">
        <f>IF(P30&lt;3,3-P30,"No aplica")</f>
        <v>No aplica</v>
      </c>
      <c r="S30" s="1">
        <f>Q30+O30</f>
        <v>3.95</v>
      </c>
      <c r="U30">
        <v>4</v>
      </c>
    </row>
    <row r="31" spans="1:21">
      <c r="A31" s="24" t="s">
        <v>70</v>
      </c>
      <c r="B31" s="25"/>
      <c r="C31" s="24" t="s">
        <v>71</v>
      </c>
      <c r="D31" s="25"/>
      <c r="E31" s="5">
        <v>5.15</v>
      </c>
      <c r="F31" s="1">
        <f>E31*0.1</f>
        <v>0.51500000000000001</v>
      </c>
      <c r="G31" s="1">
        <v>4.3</v>
      </c>
      <c r="H31" s="1">
        <v>0</v>
      </c>
      <c r="I31" s="1">
        <f>AVERAGE(G31:H31)*0.2</f>
        <v>0.43</v>
      </c>
      <c r="J31" s="1">
        <v>2.4</v>
      </c>
      <c r="K31" s="5">
        <f t="shared" si="0"/>
        <v>0.72</v>
      </c>
      <c r="L31" s="1">
        <v>3</v>
      </c>
      <c r="M31" s="6">
        <f t="shared" si="1"/>
        <v>1.2000000000000002</v>
      </c>
      <c r="N31" s="6">
        <v>1.5</v>
      </c>
      <c r="O31" s="6">
        <f>(SUM(N31:N31)/5)*0.5</f>
        <v>0.15</v>
      </c>
      <c r="P31" s="6">
        <f>F31+I31+K31+M31</f>
        <v>2.8650000000000002</v>
      </c>
      <c r="Q31" s="6">
        <f>INT(P31*10)/10+IF(MOD(P31*10,1)&gt;=0.5,0.1,0)</f>
        <v>2.9</v>
      </c>
      <c r="R31" s="1">
        <f>IF(P31&lt;3,3-P31,"No aplica")</f>
        <v>0.13499999999999979</v>
      </c>
      <c r="S31" s="1">
        <f>Q31+O31</f>
        <v>3.05</v>
      </c>
      <c r="U31">
        <v>4.5</v>
      </c>
    </row>
    <row r="32" spans="1:21">
      <c r="A32" s="24" t="s">
        <v>72</v>
      </c>
      <c r="B32" s="25"/>
      <c r="C32" s="24" t="s">
        <v>73</v>
      </c>
      <c r="D32" s="25"/>
      <c r="E32" s="5">
        <v>5.15</v>
      </c>
      <c r="F32" s="1">
        <f>E32*0.1</f>
        <v>0.51500000000000001</v>
      </c>
      <c r="G32" s="1">
        <v>4.75</v>
      </c>
      <c r="H32" s="1">
        <v>5</v>
      </c>
      <c r="I32" s="1">
        <f>AVERAGE(G32:H32)*0.2</f>
        <v>0.97500000000000009</v>
      </c>
      <c r="J32" s="1">
        <v>5</v>
      </c>
      <c r="K32" s="5">
        <f t="shared" si="0"/>
        <v>1.5</v>
      </c>
      <c r="L32" s="1">
        <v>3.8</v>
      </c>
      <c r="M32" s="6">
        <f t="shared" si="1"/>
        <v>1.52</v>
      </c>
      <c r="N32" s="6">
        <v>1.5</v>
      </c>
      <c r="O32" s="6">
        <f>(SUM(N32:N32)/5)*0.5</f>
        <v>0.15</v>
      </c>
      <c r="P32" s="6">
        <f>F32+I32+K32+M32</f>
        <v>4.51</v>
      </c>
      <c r="Q32" s="6">
        <f>INT(P32*10)/10+IF(MOD(P32*10,1)&gt;=0.5,0.1,0)</f>
        <v>4.5</v>
      </c>
      <c r="R32" s="1" t="str">
        <f>IF(P32&lt;3,3-P32,"No aplica")</f>
        <v>No aplica</v>
      </c>
      <c r="S32" s="1">
        <f>Q32+O32</f>
        <v>4.6500000000000004</v>
      </c>
      <c r="U32">
        <v>4</v>
      </c>
    </row>
    <row r="33" spans="1:21">
      <c r="A33" s="24" t="s">
        <v>74</v>
      </c>
      <c r="B33" s="25"/>
      <c r="C33" s="24" t="s">
        <v>75</v>
      </c>
      <c r="D33" s="25"/>
      <c r="E33" s="5">
        <v>5.15</v>
      </c>
      <c r="F33" s="1">
        <f>E33*0.1</f>
        <v>0.51500000000000001</v>
      </c>
      <c r="G33" s="1">
        <v>5</v>
      </c>
      <c r="H33" s="1">
        <v>0</v>
      </c>
      <c r="I33" s="1">
        <f>AVERAGE(G33:H33)*0.2</f>
        <v>0.5</v>
      </c>
      <c r="J33" s="1">
        <v>5</v>
      </c>
      <c r="K33" s="5">
        <f t="shared" si="0"/>
        <v>1.5</v>
      </c>
      <c r="L33" s="1">
        <v>3.8</v>
      </c>
      <c r="M33" s="6">
        <f t="shared" si="1"/>
        <v>1.52</v>
      </c>
      <c r="N33" s="6">
        <v>1.5</v>
      </c>
      <c r="O33" s="6">
        <f>(SUM(N33:N33)/5)*0.5</f>
        <v>0.15</v>
      </c>
      <c r="P33" s="6">
        <f>F33+I33+K33+M33</f>
        <v>4.0350000000000001</v>
      </c>
      <c r="Q33" s="6">
        <f>INT(P33*10)/10+IF(MOD(P33*10,1)&gt;=0.5,0.1,0)</f>
        <v>4</v>
      </c>
      <c r="R33" s="1" t="str">
        <f>IF(P33&lt;3,3-P33,"No aplica")</f>
        <v>No aplica</v>
      </c>
      <c r="S33" s="1">
        <f>Q33+O33</f>
        <v>4.1500000000000004</v>
      </c>
      <c r="U33">
        <v>3.8</v>
      </c>
    </row>
    <row r="34" spans="1:21">
      <c r="A34" s="24" t="s">
        <v>76</v>
      </c>
      <c r="B34" s="25"/>
      <c r="C34" s="24" t="s">
        <v>77</v>
      </c>
      <c r="D34" s="25"/>
      <c r="E34" s="5">
        <v>5.15</v>
      </c>
      <c r="F34" s="1">
        <f>E34*0.1</f>
        <v>0.51500000000000001</v>
      </c>
      <c r="G34" s="1">
        <v>5</v>
      </c>
      <c r="H34" s="1">
        <v>5</v>
      </c>
      <c r="I34" s="1">
        <f>AVERAGE(G34:H34)*0.2</f>
        <v>1</v>
      </c>
      <c r="J34" s="1">
        <v>5</v>
      </c>
      <c r="K34" s="5">
        <f t="shared" si="0"/>
        <v>1.5</v>
      </c>
      <c r="L34" s="1">
        <v>3.8</v>
      </c>
      <c r="M34" s="6">
        <f t="shared" si="1"/>
        <v>1.52</v>
      </c>
      <c r="N34" s="6">
        <v>1.5</v>
      </c>
      <c r="O34" s="6">
        <f>(SUM(N34:N34)/5)*0.5</f>
        <v>0.15</v>
      </c>
      <c r="P34" s="6">
        <f>F34+I34+K34+M34</f>
        <v>4.5350000000000001</v>
      </c>
      <c r="Q34" s="6">
        <f>INT(P34*10)/10+IF(MOD(P34*10,1)&gt;=0.5,0.1,0)</f>
        <v>4.5</v>
      </c>
      <c r="R34" s="1" t="str">
        <f>IF(P34&lt;3,3-P34,"No aplica")</f>
        <v>No aplica</v>
      </c>
      <c r="S34" s="1">
        <f>Q34+O34</f>
        <v>4.6500000000000004</v>
      </c>
      <c r="U34">
        <v>5</v>
      </c>
    </row>
    <row r="35" spans="1:21">
      <c r="A35" s="24" t="s">
        <v>78</v>
      </c>
      <c r="B35" s="25"/>
      <c r="C35" s="24" t="s">
        <v>79</v>
      </c>
      <c r="D35" s="25"/>
      <c r="E35" s="5">
        <v>5.15</v>
      </c>
      <c r="F35" s="1">
        <f>E35*0.1</f>
        <v>0.51500000000000001</v>
      </c>
      <c r="G35" s="1">
        <v>5</v>
      </c>
      <c r="H35" s="1">
        <v>3.4</v>
      </c>
      <c r="I35" s="1">
        <f>AVERAGE(G35:H35)*0.2</f>
        <v>0.84000000000000008</v>
      </c>
      <c r="J35" s="1">
        <v>5</v>
      </c>
      <c r="K35" s="5">
        <f t="shared" si="0"/>
        <v>1.5</v>
      </c>
      <c r="L35" s="1">
        <v>3.8</v>
      </c>
      <c r="M35" s="6">
        <f t="shared" si="1"/>
        <v>1.52</v>
      </c>
      <c r="N35" s="6">
        <v>1.5</v>
      </c>
      <c r="O35" s="6">
        <f>(SUM(N35:N35)/5)*0.5</f>
        <v>0.15</v>
      </c>
      <c r="P35" s="6">
        <f>F35+I35+K35+M35</f>
        <v>4.375</v>
      </c>
      <c r="Q35" s="6">
        <f>INT(P35*10)/10+IF(MOD(P35*10,1)&gt;=0.5,0.1,0)</f>
        <v>4.3999999999999995</v>
      </c>
      <c r="R35" s="1" t="str">
        <f>IF(P35&lt;3,3-P35,"No aplica")</f>
        <v>No aplica</v>
      </c>
      <c r="S35" s="1">
        <f>Q35+O35</f>
        <v>4.55</v>
      </c>
      <c r="U35">
        <v>4.5</v>
      </c>
    </row>
  </sheetData>
  <autoFilter ref="A7:S7" xr:uid="{5C3431A1-FFAB-4CC4-B8F1-17AB86166B7C}">
    <filterColumn colId="0" showButton="0"/>
    <filterColumn colId="2" showButton="0"/>
    <sortState xmlns:xlrd2="http://schemas.microsoft.com/office/spreadsheetml/2017/richdata2" ref="A8:S35">
      <sortCondition ref="C7"/>
    </sortState>
  </autoFilter>
  <mergeCells count="68">
    <mergeCell ref="A1:B1"/>
    <mergeCell ref="C1:J1"/>
    <mergeCell ref="A2:B2"/>
    <mergeCell ref="C2:J2"/>
    <mergeCell ref="A3:B3"/>
    <mergeCell ref="C3:J3"/>
    <mergeCell ref="A4:B4"/>
    <mergeCell ref="C4:J4"/>
    <mergeCell ref="A6:D6"/>
    <mergeCell ref="A7:B7"/>
    <mergeCell ref="C7:D7"/>
    <mergeCell ref="G6:H6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3:B23"/>
    <mergeCell ref="C23:D23"/>
    <mergeCell ref="A24:B24"/>
    <mergeCell ref="C24:D24"/>
    <mergeCell ref="A20:B20"/>
    <mergeCell ref="C20:D20"/>
    <mergeCell ref="A21:B21"/>
    <mergeCell ref="C21:D21"/>
    <mergeCell ref="A22:B22"/>
    <mergeCell ref="C22:D22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4:B34"/>
    <mergeCell ref="C34:D34"/>
    <mergeCell ref="A35:B35"/>
    <mergeCell ref="C35:D35"/>
    <mergeCell ref="A31:B31"/>
    <mergeCell ref="C31:D31"/>
    <mergeCell ref="A32:B32"/>
    <mergeCell ref="C32:D32"/>
    <mergeCell ref="A33:B33"/>
    <mergeCell ref="C33:D33"/>
  </mergeCells>
  <conditionalFormatting sqref="E8:E18 E20:E34">
    <cfRule type="expression" dxfId="25" priority="19">
      <formula>E8&lt;3</formula>
    </cfRule>
    <cfRule type="expression" dxfId="24" priority="20">
      <formula>E8&gt;=3</formula>
    </cfRule>
  </conditionalFormatting>
  <conditionalFormatting sqref="G8:H34 L8:L34 J8:J34 P8:P35">
    <cfRule type="expression" dxfId="23" priority="23">
      <formula>G8&gt;=3</formula>
    </cfRule>
    <cfRule type="expression" dxfId="22" priority="24">
      <formula>G8&lt;3</formula>
    </cfRule>
  </conditionalFormatting>
  <conditionalFormatting sqref="E35">
    <cfRule type="expression" dxfId="21" priority="7">
      <formula>E35&lt;3</formula>
    </cfRule>
    <cfRule type="expression" dxfId="20" priority="8">
      <formula>E35&gt;=3</formula>
    </cfRule>
  </conditionalFormatting>
  <conditionalFormatting sqref="G35:H35 J35">
    <cfRule type="expression" dxfId="19" priority="15">
      <formula>G35&gt;=3</formula>
    </cfRule>
    <cfRule type="expression" dxfId="18" priority="16">
      <formula>G35&lt;3</formula>
    </cfRule>
  </conditionalFormatting>
  <conditionalFormatting sqref="L35">
    <cfRule type="expression" dxfId="17" priority="13">
      <formula>L35&gt;=3</formula>
    </cfRule>
    <cfRule type="expression" dxfId="16" priority="14">
      <formula>L35&lt;3</formula>
    </cfRule>
  </conditionalFormatting>
  <conditionalFormatting sqref="N8:N35">
    <cfRule type="cellIs" dxfId="15" priority="3" operator="greaterThan">
      <formula>0</formula>
    </cfRule>
    <cfRule type="containsBlanks" dxfId="14" priority="4">
      <formula>LEN(TRIM(N8))=0</formula>
    </cfRule>
  </conditionalFormatting>
  <conditionalFormatting sqref="E19">
    <cfRule type="expression" dxfId="13" priority="1">
      <formula>E19&lt;3</formula>
    </cfRule>
    <cfRule type="expression" dxfId="12" priority="2">
      <formula>E19&gt;=3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DEFD-78B6-4697-B73F-F75CECA33F92}">
  <dimension ref="A1:R35"/>
  <sheetViews>
    <sheetView tabSelected="1" workbookViewId="0">
      <selection activeCell="M31" sqref="M31"/>
    </sheetView>
  </sheetViews>
  <sheetFormatPr defaultRowHeight="15"/>
  <cols>
    <col min="3" max="3" width="17" customWidth="1"/>
    <col min="4" max="4" width="21.5703125" customWidth="1"/>
    <col min="5" max="5" width="20" customWidth="1"/>
    <col min="6" max="6" width="18" customWidth="1"/>
    <col min="11" max="11" width="15" bestFit="1" customWidth="1"/>
    <col min="12" max="12" width="17" bestFit="1" customWidth="1"/>
    <col min="14" max="14" width="9" customWidth="1"/>
    <col min="15" max="15" width="11.42578125" bestFit="1" customWidth="1"/>
    <col min="17" max="17" width="11" bestFit="1" customWidth="1"/>
    <col min="18" max="18" width="20.5703125" bestFit="1" customWidth="1"/>
  </cols>
  <sheetData>
    <row r="1" spans="1:18">
      <c r="A1" s="28" t="s">
        <v>0</v>
      </c>
      <c r="B1" s="28"/>
      <c r="C1" s="34" t="s">
        <v>1</v>
      </c>
      <c r="D1" s="34"/>
      <c r="E1" s="34"/>
      <c r="F1" s="34"/>
    </row>
    <row r="2" spans="1:18">
      <c r="A2" s="28" t="s">
        <v>2</v>
      </c>
      <c r="B2" s="28"/>
      <c r="C2" s="35" t="s">
        <v>3</v>
      </c>
      <c r="D2" s="35"/>
      <c r="E2" s="35"/>
      <c r="F2" s="35"/>
    </row>
    <row r="3" spans="1:18">
      <c r="A3" s="36" t="s">
        <v>4</v>
      </c>
      <c r="B3" s="37"/>
      <c r="C3" s="34" t="s">
        <v>5</v>
      </c>
      <c r="D3" s="34"/>
      <c r="E3" s="34"/>
      <c r="F3" s="34"/>
      <c r="M3" s="12"/>
      <c r="N3" s="12"/>
    </row>
    <row r="4" spans="1:18">
      <c r="A4" s="28" t="s">
        <v>6</v>
      </c>
      <c r="B4" s="28"/>
      <c r="C4" s="29" t="s">
        <v>7</v>
      </c>
      <c r="D4" s="29"/>
      <c r="E4" s="29"/>
      <c r="F4" s="29"/>
    </row>
    <row r="6" spans="1:18">
      <c r="A6" s="30" t="s">
        <v>8</v>
      </c>
      <c r="B6" s="30"/>
      <c r="C6" s="30"/>
      <c r="D6" s="31"/>
      <c r="E6" s="30" t="s">
        <v>10</v>
      </c>
      <c r="F6" s="30"/>
      <c r="G6" s="21">
        <v>0.2</v>
      </c>
      <c r="H6" s="21" t="s">
        <v>11</v>
      </c>
      <c r="I6" s="21">
        <v>0.4</v>
      </c>
      <c r="J6" s="2" t="s">
        <v>12</v>
      </c>
      <c r="K6" s="2" t="s">
        <v>90</v>
      </c>
      <c r="L6" s="2" t="s">
        <v>91</v>
      </c>
      <c r="M6" s="21">
        <v>0.4</v>
      </c>
      <c r="N6" s="21"/>
      <c r="O6" s="21" t="s">
        <v>14</v>
      </c>
      <c r="P6" s="2" t="s">
        <v>15</v>
      </c>
      <c r="Q6" s="2" t="s">
        <v>16</v>
      </c>
      <c r="R6" s="2" t="s">
        <v>17</v>
      </c>
    </row>
    <row r="7" spans="1:18">
      <c r="A7" s="32" t="s">
        <v>18</v>
      </c>
      <c r="B7" s="33"/>
      <c r="C7" s="32" t="s">
        <v>19</v>
      </c>
      <c r="D7" s="32"/>
      <c r="E7" s="19" t="s">
        <v>92</v>
      </c>
      <c r="F7" s="19" t="s">
        <v>93</v>
      </c>
      <c r="G7" s="22"/>
      <c r="H7" s="22"/>
      <c r="I7" s="22"/>
      <c r="J7" s="19"/>
      <c r="K7" s="23"/>
      <c r="L7" s="23"/>
      <c r="M7" s="23"/>
      <c r="N7" s="23" t="s">
        <v>24</v>
      </c>
      <c r="O7" s="23"/>
      <c r="P7" s="23"/>
      <c r="Q7" s="23"/>
      <c r="R7" s="19"/>
    </row>
    <row r="8" spans="1:18">
      <c r="A8" s="26" t="s">
        <v>25</v>
      </c>
      <c r="B8" s="27"/>
      <c r="C8" s="26" t="s">
        <v>26</v>
      </c>
      <c r="D8" s="27"/>
      <c r="E8" s="14">
        <v>0</v>
      </c>
      <c r="F8" s="14">
        <v>0</v>
      </c>
      <c r="G8" s="13">
        <f>AVERAGE(E8:F8)*0.2+O8</f>
        <v>0</v>
      </c>
      <c r="H8" s="13">
        <v>0</v>
      </c>
      <c r="I8" s="13">
        <f>H8*0.4</f>
        <v>0</v>
      </c>
      <c r="J8" s="14">
        <v>0</v>
      </c>
      <c r="K8" s="15">
        <v>0</v>
      </c>
      <c r="L8" s="15">
        <v>0</v>
      </c>
      <c r="M8" s="15">
        <f>AVERAGE(J8:L8)*0.4</f>
        <v>0</v>
      </c>
      <c r="N8" s="15"/>
      <c r="O8" s="15">
        <f>(SUM(N8:N8)/5)*0.3</f>
        <v>0</v>
      </c>
      <c r="P8" s="15">
        <f>G8+I8+M8</f>
        <v>0</v>
      </c>
      <c r="Q8" s="15">
        <f>INT(P8*10)/10+IF(MOD(P8*10,1)&gt;=0.5,0.1,0)</f>
        <v>0</v>
      </c>
      <c r="R8" s="14">
        <f>IF(P8&lt;3,3-P8,"No aplica")</f>
        <v>3</v>
      </c>
    </row>
    <row r="9" spans="1:18">
      <c r="A9" s="24">
        <v>1059240188</v>
      </c>
      <c r="B9" s="25"/>
      <c r="C9" s="24" t="s">
        <v>80</v>
      </c>
      <c r="D9" s="25"/>
      <c r="E9" s="1">
        <v>4.4000000000000004</v>
      </c>
      <c r="F9" s="1">
        <v>4.5</v>
      </c>
      <c r="G9" s="5">
        <f>AVERAGE(E9:F9)*0.2+O9</f>
        <v>1.04</v>
      </c>
      <c r="H9" s="5">
        <v>4.8</v>
      </c>
      <c r="I9" s="5">
        <f>H9*0.4</f>
        <v>1.92</v>
      </c>
      <c r="J9" s="1">
        <v>1</v>
      </c>
      <c r="K9" s="6">
        <v>3.5</v>
      </c>
      <c r="L9" s="6">
        <v>4</v>
      </c>
      <c r="M9" s="6">
        <f>AVERAGE(J9:L9)*0.4</f>
        <v>1.1333333333333335</v>
      </c>
      <c r="N9" s="6">
        <v>1.5</v>
      </c>
      <c r="O9" s="6">
        <f>(SUM(N9:N9)/5)*0.5</f>
        <v>0.15</v>
      </c>
      <c r="P9" s="6">
        <f>G9+I9+M9</f>
        <v>4.0933333333333337</v>
      </c>
      <c r="Q9" s="6">
        <f>INT(P9*10)/10+IF(MOD(P9*10,1)&gt;=0.5,0.1,0)</f>
        <v>4.0999999999999996</v>
      </c>
      <c r="R9" s="1" t="str">
        <f>IF(P9&lt;3,3-P9,"No aplica")</f>
        <v>No aplica</v>
      </c>
    </row>
    <row r="10" spans="1:18">
      <c r="A10" s="24" t="s">
        <v>27</v>
      </c>
      <c r="B10" s="25"/>
      <c r="C10" s="24" t="s">
        <v>28</v>
      </c>
      <c r="D10" s="25"/>
      <c r="E10" s="1">
        <v>3.8</v>
      </c>
      <c r="F10" s="1">
        <v>1</v>
      </c>
      <c r="G10" s="5">
        <f>AVERAGE(E10:F10)*0.2+O10</f>
        <v>0.63</v>
      </c>
      <c r="H10" s="5">
        <v>4.8</v>
      </c>
      <c r="I10" s="5">
        <f>H10*0.4</f>
        <v>1.92</v>
      </c>
      <c r="J10" s="1">
        <v>0.5</v>
      </c>
      <c r="K10" s="6">
        <v>3.6</v>
      </c>
      <c r="L10" s="6">
        <v>4.5</v>
      </c>
      <c r="M10" s="6">
        <f>AVERAGE(J10:L10)*0.4</f>
        <v>1.1466666666666667</v>
      </c>
      <c r="N10" s="6">
        <v>1.5</v>
      </c>
      <c r="O10" s="6">
        <f>(SUM(N10:N10)/5)*0.5</f>
        <v>0.15</v>
      </c>
      <c r="P10" s="6">
        <f>G10+I10+M10</f>
        <v>3.6966666666666663</v>
      </c>
      <c r="Q10" s="6">
        <f>INT(P10*10)/10+IF(MOD(P10*10,1)&gt;=0.5,0.1,0)</f>
        <v>3.7</v>
      </c>
      <c r="R10" s="1" t="str">
        <f>IF(P10&lt;3,3-P10,"No aplica")</f>
        <v>No aplica</v>
      </c>
    </row>
    <row r="11" spans="1:18">
      <c r="A11" s="24" t="s">
        <v>29</v>
      </c>
      <c r="B11" s="25"/>
      <c r="C11" s="24" t="s">
        <v>30</v>
      </c>
      <c r="D11" s="25"/>
      <c r="E11" s="1">
        <v>5</v>
      </c>
      <c r="F11" s="1">
        <v>5</v>
      </c>
      <c r="G11" s="5">
        <f>AVERAGE(E11:F11)*0.2+O11</f>
        <v>1.1499999999999999</v>
      </c>
      <c r="H11" s="5">
        <v>4.8</v>
      </c>
      <c r="I11" s="5">
        <f>H11*0.4</f>
        <v>1.92</v>
      </c>
      <c r="J11" s="1">
        <v>3.75</v>
      </c>
      <c r="K11" s="6">
        <v>4</v>
      </c>
      <c r="L11" s="6">
        <v>4</v>
      </c>
      <c r="M11" s="6">
        <f>AVERAGE(J11:L11)*0.4</f>
        <v>1.5666666666666667</v>
      </c>
      <c r="N11" s="6">
        <v>1.5</v>
      </c>
      <c r="O11" s="6">
        <f>(SUM(N11:N11)/5)*0.5</f>
        <v>0.15</v>
      </c>
      <c r="P11" s="6">
        <f>G11+I11+M11</f>
        <v>4.6366666666666667</v>
      </c>
      <c r="Q11" s="6">
        <f>INT(P11*10)/10+IF(MOD(P11*10,1)&gt;=0.5,0.1,0)</f>
        <v>4.5999999999999996</v>
      </c>
      <c r="R11" s="1" t="str">
        <f>IF(P11&lt;3,3-P11,"No aplica")</f>
        <v>No aplica</v>
      </c>
    </row>
    <row r="12" spans="1:18">
      <c r="A12" s="24" t="s">
        <v>31</v>
      </c>
      <c r="B12" s="25"/>
      <c r="C12" s="24" t="s">
        <v>32</v>
      </c>
      <c r="D12" s="25"/>
      <c r="E12" s="1">
        <v>3.8</v>
      </c>
      <c r="F12" s="1">
        <v>4.5999999999999996</v>
      </c>
      <c r="G12" s="5">
        <f>AVERAGE(E12:F12)*0.2+O12</f>
        <v>1.0899999999999999</v>
      </c>
      <c r="H12" s="5">
        <v>4</v>
      </c>
      <c r="I12" s="5">
        <f>H12*0.4</f>
        <v>1.6</v>
      </c>
      <c r="J12" s="1">
        <v>2</v>
      </c>
      <c r="K12" s="6">
        <v>4.5</v>
      </c>
      <c r="L12" s="6">
        <v>4</v>
      </c>
      <c r="M12" s="6">
        <f>AVERAGE(J12:L12)*0.4</f>
        <v>1.4000000000000001</v>
      </c>
      <c r="N12" s="6">
        <v>2.5</v>
      </c>
      <c r="O12" s="6">
        <f>(SUM(N12:N12)/5)*0.5</f>
        <v>0.25</v>
      </c>
      <c r="P12" s="6">
        <f>G12+I12+M12</f>
        <v>4.09</v>
      </c>
      <c r="Q12" s="6">
        <f>INT(P12*10)/10+IF(MOD(P12*10,1)&gt;=0.5,0.1,0)</f>
        <v>4.0999999999999996</v>
      </c>
      <c r="R12" s="1" t="str">
        <f>IF(P12&lt;3,3-P12,"No aplica")</f>
        <v>No aplica</v>
      </c>
    </row>
    <row r="13" spans="1:18">
      <c r="A13" s="24" t="s">
        <v>33</v>
      </c>
      <c r="B13" s="25"/>
      <c r="C13" s="24" t="s">
        <v>34</v>
      </c>
      <c r="D13" s="25"/>
      <c r="E13" s="1">
        <v>4.7</v>
      </c>
      <c r="F13" s="1">
        <v>5</v>
      </c>
      <c r="G13" s="5">
        <f>AVERAGE(E13:F13)*0.2+O13</f>
        <v>1.1199999999999999</v>
      </c>
      <c r="H13" s="5">
        <v>3.5</v>
      </c>
      <c r="I13" s="5">
        <f>H13*0.4</f>
        <v>1.4000000000000001</v>
      </c>
      <c r="J13" s="1">
        <v>4</v>
      </c>
      <c r="K13" s="6">
        <v>4.5999999999999996</v>
      </c>
      <c r="L13" s="6">
        <v>4</v>
      </c>
      <c r="M13" s="6">
        <f>AVERAGE(J13:L13)*0.4</f>
        <v>1.6800000000000002</v>
      </c>
      <c r="N13" s="6">
        <v>1.5</v>
      </c>
      <c r="O13" s="6">
        <f>(SUM(N13:N13)/5)*0.5</f>
        <v>0.15</v>
      </c>
      <c r="P13" s="6">
        <f>G13+I13+M13</f>
        <v>4.2</v>
      </c>
      <c r="Q13" s="6">
        <f>INT(P13*10)/10+IF(MOD(P13*10,1)&gt;=0.5,0.1,0)</f>
        <v>4.2</v>
      </c>
      <c r="R13" s="1" t="str">
        <f>IF(P13&lt;3,3-P13,"No aplica")</f>
        <v>No aplica</v>
      </c>
    </row>
    <row r="14" spans="1:18">
      <c r="A14" s="24" t="s">
        <v>35</v>
      </c>
      <c r="B14" s="25"/>
      <c r="C14" s="24" t="s">
        <v>36</v>
      </c>
      <c r="D14" s="25"/>
      <c r="E14" s="1">
        <v>5</v>
      </c>
      <c r="F14" s="1">
        <v>5</v>
      </c>
      <c r="G14" s="5">
        <f>AVERAGE(E14:F14)*0.2+O14</f>
        <v>1.1499999999999999</v>
      </c>
      <c r="H14" s="5">
        <v>5</v>
      </c>
      <c r="I14" s="5">
        <f>H14*0.4</f>
        <v>2</v>
      </c>
      <c r="J14" s="1">
        <v>3.5</v>
      </c>
      <c r="K14" s="6">
        <v>4.5</v>
      </c>
      <c r="L14" s="6">
        <v>5.0999999999999996</v>
      </c>
      <c r="M14" s="6">
        <f>AVERAGE(J14:L14)*0.4</f>
        <v>1.7466666666666666</v>
      </c>
      <c r="N14" s="6">
        <v>1.5</v>
      </c>
      <c r="O14" s="6">
        <f>(SUM(N14:N14)/5)*0.5</f>
        <v>0.15</v>
      </c>
      <c r="P14" s="6">
        <f>G14+I14+M14</f>
        <v>4.8966666666666665</v>
      </c>
      <c r="Q14" s="6">
        <f>INT(P14*10)/10+IF(MOD(P14*10,1)&gt;=0.5,0.1,0)</f>
        <v>4.8999999999999995</v>
      </c>
      <c r="R14" s="1" t="str">
        <f>IF(P14&lt;3,3-P14,"No aplica")</f>
        <v>No aplica</v>
      </c>
    </row>
    <row r="15" spans="1:18">
      <c r="A15" s="24" t="s">
        <v>37</v>
      </c>
      <c r="B15" s="25"/>
      <c r="C15" s="24" t="s">
        <v>38</v>
      </c>
      <c r="D15" s="25"/>
      <c r="E15" s="1">
        <v>5</v>
      </c>
      <c r="F15" s="1">
        <v>5</v>
      </c>
      <c r="G15" s="5">
        <f>AVERAGE(E15:F15)*0.2+O15</f>
        <v>1.1499999999999999</v>
      </c>
      <c r="H15" s="5">
        <v>4.8</v>
      </c>
      <c r="I15" s="5">
        <f>H15*0.4</f>
        <v>1.92</v>
      </c>
      <c r="J15" s="1">
        <v>2</v>
      </c>
      <c r="K15" s="6">
        <v>4.8</v>
      </c>
      <c r="L15" s="6">
        <v>4.2</v>
      </c>
      <c r="M15" s="6">
        <f>AVERAGE(J15:L15)*0.4</f>
        <v>1.4666666666666668</v>
      </c>
      <c r="N15" s="6">
        <v>1.5</v>
      </c>
      <c r="O15" s="6">
        <f>(SUM(N15:N15)/5)*0.5</f>
        <v>0.15</v>
      </c>
      <c r="P15" s="6">
        <f>G15+I15+M15</f>
        <v>4.5366666666666671</v>
      </c>
      <c r="Q15" s="6">
        <f>INT(P15*10)/10+IF(MOD(P15*10,1)&gt;=0.5,0.1,0)</f>
        <v>4.5</v>
      </c>
      <c r="R15" s="1" t="str">
        <f>IF(P15&lt;3,3-P15,"No aplica")</f>
        <v>No aplica</v>
      </c>
    </row>
    <row r="16" spans="1:18">
      <c r="A16" s="24" t="s">
        <v>39</v>
      </c>
      <c r="B16" s="25"/>
      <c r="C16" s="24" t="s">
        <v>40</v>
      </c>
      <c r="D16" s="25"/>
      <c r="E16" s="1">
        <v>4.5</v>
      </c>
      <c r="F16" s="1">
        <v>4.4000000000000004</v>
      </c>
      <c r="G16" s="5">
        <f>AVERAGE(E16:F16)*0.2+O16</f>
        <v>1.04</v>
      </c>
      <c r="H16" s="5">
        <v>4</v>
      </c>
      <c r="I16" s="5">
        <f>H16*0.4</f>
        <v>1.6</v>
      </c>
      <c r="J16" s="1">
        <v>3</v>
      </c>
      <c r="K16" s="6">
        <v>4.5</v>
      </c>
      <c r="L16" s="6">
        <v>4</v>
      </c>
      <c r="M16" s="6">
        <f>AVERAGE(J16:L16)*0.4</f>
        <v>1.5333333333333334</v>
      </c>
      <c r="N16" s="6">
        <v>1.5</v>
      </c>
      <c r="O16" s="6">
        <f>(SUM(N16:N16)/5)*0.5</f>
        <v>0.15</v>
      </c>
      <c r="P16" s="6">
        <f>G16+I16+M16</f>
        <v>4.1733333333333338</v>
      </c>
      <c r="Q16" s="6">
        <f>INT(P16*10)/10+IF(MOD(P16*10,1)&gt;=0.5,0.1,0)</f>
        <v>4.1999999999999993</v>
      </c>
      <c r="R16" s="1" t="str">
        <f>IF(P16&lt;3,3-P16,"No aplica")</f>
        <v>No aplica</v>
      </c>
    </row>
    <row r="17" spans="1:18">
      <c r="A17" s="24" t="s">
        <v>41</v>
      </c>
      <c r="B17" s="25"/>
      <c r="C17" s="24" t="s">
        <v>42</v>
      </c>
      <c r="D17" s="25"/>
      <c r="E17" s="1">
        <v>5</v>
      </c>
      <c r="F17" s="1">
        <v>5</v>
      </c>
      <c r="G17" s="5">
        <f>AVERAGE(E17:F17)*0.2+O17</f>
        <v>1.1499999999999999</v>
      </c>
      <c r="H17" s="5">
        <v>4.2</v>
      </c>
      <c r="I17" s="5">
        <f>H17*0.4</f>
        <v>1.6800000000000002</v>
      </c>
      <c r="J17" s="1">
        <v>3.5</v>
      </c>
      <c r="K17" s="6">
        <v>4.5</v>
      </c>
      <c r="L17" s="6">
        <v>4</v>
      </c>
      <c r="M17" s="6">
        <f>AVERAGE(J17:L17)*0.4</f>
        <v>1.6</v>
      </c>
      <c r="N17" s="6">
        <v>1.5</v>
      </c>
      <c r="O17" s="6">
        <f>(SUM(N17:N17)/5)*0.5</f>
        <v>0.15</v>
      </c>
      <c r="P17" s="6">
        <f>G17+I17+M17</f>
        <v>4.43</v>
      </c>
      <c r="Q17" s="6">
        <f>INT(P17*10)/10+IF(MOD(P17*10,1)&gt;=0.5,0.1,0)</f>
        <v>4.4000000000000004</v>
      </c>
      <c r="R17" s="1" t="str">
        <f>IF(P17&lt;3,3-P17,"No aplica")</f>
        <v>No aplica</v>
      </c>
    </row>
    <row r="18" spans="1:18">
      <c r="A18" s="24" t="s">
        <v>43</v>
      </c>
      <c r="B18" s="25"/>
      <c r="C18" s="24" t="s">
        <v>44</v>
      </c>
      <c r="D18" s="25"/>
      <c r="E18" s="1">
        <v>4</v>
      </c>
      <c r="F18" s="1">
        <v>4.5</v>
      </c>
      <c r="G18" s="5">
        <f>AVERAGE(E18:F18)*0.2+O18</f>
        <v>1</v>
      </c>
      <c r="H18" s="5">
        <v>4</v>
      </c>
      <c r="I18" s="5">
        <f>H18*0.4</f>
        <v>1.6</v>
      </c>
      <c r="J18" s="1">
        <v>1.5</v>
      </c>
      <c r="K18" s="6">
        <v>4.8</v>
      </c>
      <c r="L18" s="6">
        <v>4</v>
      </c>
      <c r="M18" s="6">
        <f>AVERAGE(J18:L18)*0.4</f>
        <v>1.3733333333333335</v>
      </c>
      <c r="N18" s="6">
        <v>1.5</v>
      </c>
      <c r="O18" s="6">
        <f>(SUM(N18:N18)/5)*0.5</f>
        <v>0.15</v>
      </c>
      <c r="P18" s="6">
        <f>G18+I18+M18</f>
        <v>3.9733333333333336</v>
      </c>
      <c r="Q18" s="6">
        <f>INT(P18*10)/10+IF(MOD(P18*10,1)&gt;=0.5,0.1,0)</f>
        <v>4</v>
      </c>
      <c r="R18" s="1" t="str">
        <f>IF(P18&lt;3,3-P18,"No aplica")</f>
        <v>No aplica</v>
      </c>
    </row>
    <row r="19" spans="1:18">
      <c r="A19" s="24" t="s">
        <v>45</v>
      </c>
      <c r="B19" s="25"/>
      <c r="C19" s="24" t="s">
        <v>46</v>
      </c>
      <c r="D19" s="25"/>
      <c r="E19" s="1">
        <v>0</v>
      </c>
      <c r="F19" s="1">
        <v>4.5999999999999996</v>
      </c>
      <c r="G19" s="5">
        <f>AVERAGE(E19:F19)*0.2+O19</f>
        <v>0.61</v>
      </c>
      <c r="H19" s="5">
        <v>4.8</v>
      </c>
      <c r="I19" s="5">
        <f>H19*0.4</f>
        <v>1.92</v>
      </c>
      <c r="J19" s="1">
        <v>1.5</v>
      </c>
      <c r="K19" s="6">
        <v>4.3</v>
      </c>
      <c r="L19" s="6">
        <v>3.7</v>
      </c>
      <c r="M19" s="6">
        <f>AVERAGE(J19:L19)*0.4</f>
        <v>1.2666666666666666</v>
      </c>
      <c r="N19" s="6">
        <v>1.5</v>
      </c>
      <c r="O19" s="6">
        <f>(SUM(N19:N19)/5)*0.5</f>
        <v>0.15</v>
      </c>
      <c r="P19" s="6">
        <f>G19+I19+M19</f>
        <v>3.7966666666666664</v>
      </c>
      <c r="Q19" s="6">
        <f>INT(P19*10)/10+IF(MOD(P19*10,1)&gt;=0.5,0.1,0)</f>
        <v>3.8000000000000003</v>
      </c>
      <c r="R19" s="1" t="str">
        <f>IF(P19&lt;3,3-P19,"No aplica")</f>
        <v>No aplica</v>
      </c>
    </row>
    <row r="20" spans="1:18">
      <c r="A20" s="24" t="s">
        <v>47</v>
      </c>
      <c r="B20" s="25"/>
      <c r="C20" s="24" t="s">
        <v>48</v>
      </c>
      <c r="D20" s="25"/>
      <c r="E20" s="1">
        <v>5</v>
      </c>
      <c r="F20" s="1">
        <v>5</v>
      </c>
      <c r="G20" s="5">
        <f>AVERAGE(E20:F20)*0.2+O20</f>
        <v>1.1499999999999999</v>
      </c>
      <c r="H20" s="5">
        <v>3.5</v>
      </c>
      <c r="I20" s="5">
        <f>H20*0.4</f>
        <v>1.4000000000000001</v>
      </c>
      <c r="J20" s="1">
        <v>0.5</v>
      </c>
      <c r="K20" s="6">
        <v>4.5</v>
      </c>
      <c r="L20" s="6">
        <v>4</v>
      </c>
      <c r="M20" s="6">
        <f>AVERAGE(J20:L20)*0.4</f>
        <v>1.2000000000000002</v>
      </c>
      <c r="N20" s="6">
        <v>1.5</v>
      </c>
      <c r="O20" s="6">
        <f>(SUM(N20:N20)/5)*0.5</f>
        <v>0.15</v>
      </c>
      <c r="P20" s="6">
        <f>G20+I20+M20</f>
        <v>3.75</v>
      </c>
      <c r="Q20" s="6">
        <f>INT(P20*10)/10+IF(MOD(P20*10,1)&gt;=0.5,0.1,0)</f>
        <v>3.8000000000000003</v>
      </c>
      <c r="R20" s="1" t="str">
        <f>IF(P20&lt;3,3-P20,"No aplica")</f>
        <v>No aplica</v>
      </c>
    </row>
    <row r="21" spans="1:18">
      <c r="A21" s="24" t="s">
        <v>49</v>
      </c>
      <c r="B21" s="25"/>
      <c r="C21" s="24" t="s">
        <v>50</v>
      </c>
      <c r="D21" s="25"/>
      <c r="E21" s="1">
        <v>4.5999999999999996</v>
      </c>
      <c r="F21" s="1">
        <v>3.2</v>
      </c>
      <c r="G21" s="5">
        <f>AVERAGE(E21:F21)*0.2+O21</f>
        <v>0.78</v>
      </c>
      <c r="H21" s="5">
        <v>4</v>
      </c>
      <c r="I21" s="5">
        <f>H21*0.4</f>
        <v>1.6</v>
      </c>
      <c r="J21" s="1">
        <v>3.8</v>
      </c>
      <c r="K21" s="6">
        <v>3.5</v>
      </c>
      <c r="L21" s="6">
        <v>3</v>
      </c>
      <c r="M21" s="6">
        <f>AVERAGE(J21:L21)*0.4</f>
        <v>1.3733333333333335</v>
      </c>
      <c r="N21" s="6"/>
      <c r="O21" s="6">
        <f>(SUM(N21:N21)/5)*0.5</f>
        <v>0</v>
      </c>
      <c r="P21" s="6">
        <f>G21+I21+M21</f>
        <v>3.7533333333333334</v>
      </c>
      <c r="Q21" s="6">
        <f>INT(P21*10)/10+IF(MOD(P21*10,1)&gt;=0.5,0.1,0)</f>
        <v>3.8000000000000003</v>
      </c>
      <c r="R21" s="1" t="str">
        <f>IF(P21&lt;3,3-P21,"No aplica")</f>
        <v>No aplica</v>
      </c>
    </row>
    <row r="22" spans="1:18">
      <c r="A22" s="24" t="s">
        <v>51</v>
      </c>
      <c r="B22" s="25"/>
      <c r="C22" s="24" t="s">
        <v>52</v>
      </c>
      <c r="D22" s="25"/>
      <c r="E22" s="1">
        <v>4</v>
      </c>
      <c r="F22" s="1">
        <v>4.5</v>
      </c>
      <c r="G22" s="5">
        <f>AVERAGE(E22:F22)*0.2+O22</f>
        <v>1</v>
      </c>
      <c r="H22" s="5">
        <v>4.8</v>
      </c>
      <c r="I22" s="5">
        <f>H22*0.4</f>
        <v>1.92</v>
      </c>
      <c r="J22" s="1">
        <v>2.1</v>
      </c>
      <c r="K22" s="6">
        <v>3.8</v>
      </c>
      <c r="L22" s="6">
        <v>4.2</v>
      </c>
      <c r="M22" s="6">
        <f>AVERAGE(J22:L22)*0.4</f>
        <v>1.3466666666666669</v>
      </c>
      <c r="N22" s="6">
        <v>1.5</v>
      </c>
      <c r="O22" s="6">
        <f>(SUM(N22:N22)/5)*0.5</f>
        <v>0.15</v>
      </c>
      <c r="P22" s="6">
        <f>G22+I22+M22</f>
        <v>4.2666666666666666</v>
      </c>
      <c r="Q22" s="6">
        <f>INT(P22*10)/10+IF(MOD(P22*10,1)&gt;=0.5,0.1,0)</f>
        <v>4.3</v>
      </c>
      <c r="R22" s="1" t="str">
        <f>IF(P22&lt;3,3-P22,"No aplica")</f>
        <v>No aplica</v>
      </c>
    </row>
    <row r="23" spans="1:18">
      <c r="A23" s="24" t="s">
        <v>53</v>
      </c>
      <c r="B23" s="25"/>
      <c r="C23" s="24" t="s">
        <v>54</v>
      </c>
      <c r="D23" s="25"/>
      <c r="E23" s="1">
        <v>5</v>
      </c>
      <c r="F23" s="1">
        <v>5</v>
      </c>
      <c r="G23" s="5">
        <f>AVERAGE(E23:F23)*0.2+O23</f>
        <v>1.1499999999999999</v>
      </c>
      <c r="H23" s="5">
        <v>4.8</v>
      </c>
      <c r="I23" s="5">
        <f>H23*0.4</f>
        <v>1.92</v>
      </c>
      <c r="J23" s="1">
        <v>4.5</v>
      </c>
      <c r="K23" s="6">
        <v>4.8</v>
      </c>
      <c r="L23" s="6">
        <v>4.2</v>
      </c>
      <c r="M23" s="6">
        <f>AVERAGE(J23:L23)*0.4</f>
        <v>1.8</v>
      </c>
      <c r="N23" s="6">
        <v>1.5</v>
      </c>
      <c r="O23" s="6">
        <f>(SUM(N23:N23)/5)*0.5</f>
        <v>0.15</v>
      </c>
      <c r="P23" s="6">
        <f>G23+I23+M23</f>
        <v>4.87</v>
      </c>
      <c r="Q23" s="6">
        <f>INT(P23*10)/10+IF(MOD(P23*10,1)&gt;=0.5,0.1,0)</f>
        <v>4.8999999999999995</v>
      </c>
      <c r="R23" s="1" t="str">
        <f>IF(P23&lt;3,3-P23,"No aplica")</f>
        <v>No aplica</v>
      </c>
    </row>
    <row r="24" spans="1:18">
      <c r="A24" s="26" t="s">
        <v>55</v>
      </c>
      <c r="B24" s="27"/>
      <c r="C24" s="26" t="s">
        <v>56</v>
      </c>
      <c r="D24" s="27"/>
      <c r="E24" s="14">
        <v>0</v>
      </c>
      <c r="F24" s="14">
        <v>0</v>
      </c>
      <c r="G24" s="13">
        <f>AVERAGE(E24:F24)*0.2+O24</f>
        <v>0</v>
      </c>
      <c r="H24" s="13">
        <v>0</v>
      </c>
      <c r="I24" s="13">
        <f>H24*0.4</f>
        <v>0</v>
      </c>
      <c r="J24" s="14">
        <v>0</v>
      </c>
      <c r="K24" s="15">
        <v>0</v>
      </c>
      <c r="L24" s="15">
        <v>0</v>
      </c>
      <c r="M24" s="15">
        <f>AVERAGE(J24:L24)*0.4</f>
        <v>0</v>
      </c>
      <c r="N24" s="15"/>
      <c r="O24" s="15">
        <f>(SUM(N24:N24)/5)*0.5</f>
        <v>0</v>
      </c>
      <c r="P24" s="15">
        <f>G24+I24+M24</f>
        <v>0</v>
      </c>
      <c r="Q24" s="15">
        <f>INT(P24*10)/10+IF(MOD(P24*10,1)&gt;=0.5,0.1,0)</f>
        <v>0</v>
      </c>
      <c r="R24" s="14">
        <f>IF(P24&lt;3,3-P24,"No aplica")</f>
        <v>3</v>
      </c>
    </row>
    <row r="25" spans="1:18">
      <c r="A25" s="26">
        <v>1141330236</v>
      </c>
      <c r="B25" s="27"/>
      <c r="C25" s="26" t="s">
        <v>59</v>
      </c>
      <c r="D25" s="27"/>
      <c r="E25" s="14">
        <v>0</v>
      </c>
      <c r="F25" s="14">
        <v>0</v>
      </c>
      <c r="G25" s="13">
        <f>AVERAGE(E25:F25)*0.2+O25</f>
        <v>0</v>
      </c>
      <c r="H25" s="13">
        <v>0</v>
      </c>
      <c r="I25" s="13">
        <f>H25*0.4</f>
        <v>0</v>
      </c>
      <c r="J25" s="14">
        <v>0</v>
      </c>
      <c r="K25" s="15">
        <v>0</v>
      </c>
      <c r="L25" s="15">
        <v>0</v>
      </c>
      <c r="M25" s="15">
        <f>AVERAGE(J25:L25)*0.4</f>
        <v>0</v>
      </c>
      <c r="N25" s="15"/>
      <c r="O25" s="15">
        <f>(SUM(N25:N25)/5)*0.5</f>
        <v>0</v>
      </c>
      <c r="P25" s="50">
        <f>G25+I25+M25</f>
        <v>0</v>
      </c>
      <c r="Q25" s="15">
        <f>INT(P25*10)/10+IF(MOD(P25*10,1)&gt;=0.5,0.1,0)</f>
        <v>0</v>
      </c>
      <c r="R25" s="14">
        <f>IF(P25&lt;3,3-P25,"No aplica")</f>
        <v>3</v>
      </c>
    </row>
    <row r="26" spans="1:18">
      <c r="A26" s="24" t="s">
        <v>60</v>
      </c>
      <c r="B26" s="25"/>
      <c r="C26" s="24" t="s">
        <v>61</v>
      </c>
      <c r="D26" s="25"/>
      <c r="E26" s="1">
        <v>5</v>
      </c>
      <c r="F26" s="1">
        <v>5</v>
      </c>
      <c r="G26" s="5">
        <f>AVERAGE(E26:F26)*0.2+O26</f>
        <v>1.1499999999999999</v>
      </c>
      <c r="H26" s="5">
        <v>4.2</v>
      </c>
      <c r="I26" s="5">
        <f>H26*0.4</f>
        <v>1.6800000000000002</v>
      </c>
      <c r="J26" s="1">
        <v>1.5</v>
      </c>
      <c r="K26" s="6">
        <v>4.2</v>
      </c>
      <c r="L26" s="6">
        <v>4.2</v>
      </c>
      <c r="M26" s="6">
        <f>AVERAGE(J26:L26)*0.4</f>
        <v>1.3200000000000003</v>
      </c>
      <c r="N26" s="6">
        <v>1.5</v>
      </c>
      <c r="O26" s="6">
        <f>(SUM(N26:N26)/5)*0.5</f>
        <v>0.15</v>
      </c>
      <c r="P26" s="1">
        <f>G26+I26+M26</f>
        <v>4.1500000000000004</v>
      </c>
      <c r="Q26" s="49">
        <f>INT(P26*10)/10+IF(MOD(P26*10,1)&gt;=0.5,0.1,0)</f>
        <v>4.1999999999999993</v>
      </c>
      <c r="R26" s="1" t="str">
        <f>IF(P26&lt;3,3-P26,"No aplica")</f>
        <v>No aplica</v>
      </c>
    </row>
    <row r="27" spans="1:18">
      <c r="A27" s="24" t="s">
        <v>62</v>
      </c>
      <c r="B27" s="25"/>
      <c r="C27" s="24" t="s">
        <v>63</v>
      </c>
      <c r="D27" s="25"/>
      <c r="E27" s="1">
        <v>5</v>
      </c>
      <c r="F27" s="1">
        <v>5</v>
      </c>
      <c r="G27" s="5">
        <f>AVERAGE(E27:F27)*0.2+O27</f>
        <v>1.1499999999999999</v>
      </c>
      <c r="H27" s="5">
        <v>4.2</v>
      </c>
      <c r="I27" s="5">
        <f>H27*0.4</f>
        <v>1.6800000000000002</v>
      </c>
      <c r="J27" s="1">
        <v>1</v>
      </c>
      <c r="K27" s="6">
        <v>3.5</v>
      </c>
      <c r="L27" s="6">
        <v>3.5</v>
      </c>
      <c r="M27" s="6">
        <f>AVERAGE(J27:L27)*0.4</f>
        <v>1.0666666666666667</v>
      </c>
      <c r="N27" s="6">
        <v>1.5</v>
      </c>
      <c r="O27" s="6">
        <f>(SUM(N27:N27)/5)*0.5</f>
        <v>0.15</v>
      </c>
      <c r="P27" s="1">
        <f>G27+I27+M27</f>
        <v>3.8966666666666665</v>
      </c>
      <c r="Q27" s="49">
        <f>INT(P27*10)/10+IF(MOD(P27*10,1)&gt;=0.5,0.1,0)</f>
        <v>3.9</v>
      </c>
      <c r="R27" s="1" t="str">
        <f>IF(P27&lt;3,3-P27,"No aplica")</f>
        <v>No aplica</v>
      </c>
    </row>
    <row r="28" spans="1:18">
      <c r="A28" s="24" t="s">
        <v>64</v>
      </c>
      <c r="B28" s="25"/>
      <c r="C28" s="24" t="s">
        <v>65</v>
      </c>
      <c r="D28" s="25"/>
      <c r="E28" s="1">
        <v>4.7</v>
      </c>
      <c r="F28" s="1">
        <v>4.2</v>
      </c>
      <c r="G28" s="5">
        <f>AVERAGE(E28:F28)*0.5+O28</f>
        <v>2.375</v>
      </c>
      <c r="H28" s="5">
        <f>-K38</f>
        <v>0</v>
      </c>
      <c r="I28" s="5">
        <f>H28*0.4</f>
        <v>0</v>
      </c>
      <c r="J28" s="1">
        <v>4.3</v>
      </c>
      <c r="K28" s="6">
        <v>4</v>
      </c>
      <c r="L28" s="6">
        <v>4</v>
      </c>
      <c r="M28" s="6">
        <f>AVERAGE(J28:L28)*0.4</f>
        <v>1.6400000000000003</v>
      </c>
      <c r="N28" s="6">
        <v>1.5</v>
      </c>
      <c r="O28" s="6">
        <f>(SUM(N28:N28)/5)*0.5</f>
        <v>0.15</v>
      </c>
      <c r="P28" s="1">
        <f>G28+I28+M28</f>
        <v>4.0150000000000006</v>
      </c>
      <c r="Q28" s="49">
        <f>INT(P28*10)/10+IF(MOD(P28*10,1)&gt;=0.5,0.1,0)</f>
        <v>4</v>
      </c>
      <c r="R28" s="1" t="str">
        <f>IF(P28&lt;3,3-P28,"No aplica")</f>
        <v>No aplica</v>
      </c>
    </row>
    <row r="29" spans="1:18">
      <c r="A29" s="24" t="s">
        <v>66</v>
      </c>
      <c r="B29" s="25"/>
      <c r="C29" s="24" t="s">
        <v>67</v>
      </c>
      <c r="D29" s="25"/>
      <c r="E29" s="1">
        <v>5</v>
      </c>
      <c r="F29" s="1">
        <v>4.5999999999999996</v>
      </c>
      <c r="G29" s="5">
        <f>AVERAGE(E29:F29)*0.2+O29</f>
        <v>1.1099999999999999</v>
      </c>
      <c r="H29" s="5">
        <v>4.8</v>
      </c>
      <c r="I29" s="5">
        <f>H29*0.4</f>
        <v>1.92</v>
      </c>
      <c r="J29" s="1">
        <v>1</v>
      </c>
      <c r="K29" s="6">
        <v>4.8</v>
      </c>
      <c r="L29" s="6">
        <v>4</v>
      </c>
      <c r="M29" s="6">
        <f>AVERAGE(J29:L29)*0.4</f>
        <v>1.3066666666666669</v>
      </c>
      <c r="N29" s="6">
        <v>1.5</v>
      </c>
      <c r="O29" s="6">
        <f>(SUM(N29:N29)/5)*0.5</f>
        <v>0.15</v>
      </c>
      <c r="P29" s="1">
        <f>G29+I29+M29</f>
        <v>4.3366666666666669</v>
      </c>
      <c r="Q29" s="49">
        <f>INT(P29*10)/10+IF(MOD(P29*10,1)&gt;=0.5,0.1,0)</f>
        <v>4.3</v>
      </c>
      <c r="R29" s="1" t="str">
        <f>IF(P29&lt;3,3-P29,"No aplica")</f>
        <v>No aplica</v>
      </c>
    </row>
    <row r="30" spans="1:18">
      <c r="A30" s="24" t="s">
        <v>68</v>
      </c>
      <c r="B30" s="25"/>
      <c r="C30" s="24" t="s">
        <v>69</v>
      </c>
      <c r="D30" s="25"/>
      <c r="E30" s="1">
        <v>4.3</v>
      </c>
      <c r="F30" s="1">
        <v>4.3</v>
      </c>
      <c r="G30" s="5">
        <f>AVERAGE(E30:F30)*0.2+O30</f>
        <v>1.01</v>
      </c>
      <c r="H30" s="5">
        <v>4.8</v>
      </c>
      <c r="I30" s="5">
        <f>H30*0.4</f>
        <v>1.92</v>
      </c>
      <c r="J30" s="1">
        <v>1</v>
      </c>
      <c r="K30" s="6">
        <v>4</v>
      </c>
      <c r="L30" s="6">
        <v>3.5</v>
      </c>
      <c r="M30" s="6">
        <f>AVERAGE(J30:L30)*0.4</f>
        <v>1.1333333333333335</v>
      </c>
      <c r="N30" s="6">
        <v>1.5</v>
      </c>
      <c r="O30" s="6">
        <f>(SUM(N30:N30)/5)*0.5</f>
        <v>0.15</v>
      </c>
      <c r="P30" s="51">
        <f>G30+I30+M30</f>
        <v>4.0633333333333335</v>
      </c>
      <c r="Q30" s="6">
        <f>INT(P30*10)/10+IF(MOD(P30*10,1)&gt;=0.5,0.1,0)</f>
        <v>4.0999999999999996</v>
      </c>
      <c r="R30" s="1" t="str">
        <f>IF(P30&lt;3,3-P30,"No aplica")</f>
        <v>No aplica</v>
      </c>
    </row>
    <row r="31" spans="1:18">
      <c r="A31" s="26" t="s">
        <v>70</v>
      </c>
      <c r="B31" s="27"/>
      <c r="C31" s="26" t="s">
        <v>71</v>
      </c>
      <c r="D31" s="27"/>
      <c r="E31" s="14">
        <v>4.3</v>
      </c>
      <c r="F31" s="14">
        <v>0</v>
      </c>
      <c r="G31" s="13">
        <f>AVERAGE(E31:F31)*0.2+O31</f>
        <v>0.43</v>
      </c>
      <c r="H31" s="13">
        <v>0</v>
      </c>
      <c r="I31" s="13">
        <f>H31*0.4</f>
        <v>0</v>
      </c>
      <c r="J31" s="14">
        <v>0</v>
      </c>
      <c r="K31" s="15">
        <v>0</v>
      </c>
      <c r="L31" s="15">
        <v>0</v>
      </c>
      <c r="M31" s="15">
        <f>AVERAGE(J31:L31)*0.4</f>
        <v>0</v>
      </c>
      <c r="N31" s="15"/>
      <c r="O31" s="15">
        <f>(SUM(N31:N31)/5)*0.5</f>
        <v>0</v>
      </c>
      <c r="P31" s="15">
        <f>G31+I31+M31</f>
        <v>0.43</v>
      </c>
      <c r="Q31" s="15">
        <f>INT(P31*10)/10+IF(MOD(P31*10,1)&gt;=0.5,0.1,0)</f>
        <v>0.4</v>
      </c>
      <c r="R31" s="14">
        <f>IF(P31&lt;3,3-P31,"No aplica")</f>
        <v>2.57</v>
      </c>
    </row>
    <row r="32" spans="1:18">
      <c r="A32" s="24" t="s">
        <v>72</v>
      </c>
      <c r="B32" s="25"/>
      <c r="C32" s="24" t="s">
        <v>73</v>
      </c>
      <c r="D32" s="25"/>
      <c r="E32" s="1">
        <v>5</v>
      </c>
      <c r="F32" s="1">
        <v>5</v>
      </c>
      <c r="G32" s="5">
        <f>AVERAGE(E32:F32)*0.2+O32</f>
        <v>1.1499999999999999</v>
      </c>
      <c r="H32" s="5">
        <v>4.5</v>
      </c>
      <c r="I32" s="5">
        <f>H32*0.4</f>
        <v>1.8</v>
      </c>
      <c r="J32" s="1">
        <v>4.5</v>
      </c>
      <c r="K32" s="6">
        <v>4</v>
      </c>
      <c r="L32" s="6">
        <v>4</v>
      </c>
      <c r="M32" s="6">
        <f>AVERAGE(J32:L32)*0.4</f>
        <v>1.666666666666667</v>
      </c>
      <c r="N32" s="6">
        <v>1.5</v>
      </c>
      <c r="O32" s="6">
        <f>(SUM(N32:N32)/5)*0.5</f>
        <v>0.15</v>
      </c>
      <c r="P32" s="6">
        <f>G32+I32+M32</f>
        <v>4.6166666666666671</v>
      </c>
      <c r="Q32" s="6">
        <f>INT(P32*10)/10+IF(MOD(P32*10,1)&gt;=0.5,0.1,0)</f>
        <v>4.5999999999999996</v>
      </c>
      <c r="R32" s="1" t="str">
        <f>IF(P32&lt;3,3-P32,"No aplica")</f>
        <v>No aplica</v>
      </c>
    </row>
    <row r="33" spans="1:18">
      <c r="A33" s="24" t="s">
        <v>74</v>
      </c>
      <c r="B33" s="25"/>
      <c r="C33" s="24" t="s">
        <v>75</v>
      </c>
      <c r="D33" s="25"/>
      <c r="E33" s="1">
        <v>4.5</v>
      </c>
      <c r="F33" s="1">
        <v>0</v>
      </c>
      <c r="G33" s="5">
        <f>AVERAGE(E33:F33)*0.2+O33</f>
        <v>0.6</v>
      </c>
      <c r="H33" s="5">
        <v>3.5</v>
      </c>
      <c r="I33" s="5">
        <f>H33*0.4</f>
        <v>1.4000000000000001</v>
      </c>
      <c r="J33" s="1">
        <v>1</v>
      </c>
      <c r="K33" s="6">
        <v>2.5</v>
      </c>
      <c r="L33" s="6">
        <v>3</v>
      </c>
      <c r="M33" s="6">
        <f>AVERAGE(J33:L33)*0.4</f>
        <v>0.8666666666666667</v>
      </c>
      <c r="N33" s="6">
        <v>1.5</v>
      </c>
      <c r="O33" s="6">
        <f>(SUM(N33:N33)/5)*0.5</f>
        <v>0.15</v>
      </c>
      <c r="P33" s="6">
        <f>G33+I33+M33</f>
        <v>2.8666666666666667</v>
      </c>
      <c r="Q33" s="6">
        <f>INT(P33*10)/10+IF(MOD(P33*10,1)&gt;=0.5,0.1,0)</f>
        <v>2.9</v>
      </c>
      <c r="R33" s="1">
        <f>IF(P33&lt;3,3-P33,"No aplica")</f>
        <v>0.1333333333333333</v>
      </c>
    </row>
    <row r="34" spans="1:18">
      <c r="A34" s="24" t="s">
        <v>76</v>
      </c>
      <c r="B34" s="25"/>
      <c r="C34" s="24" t="s">
        <v>77</v>
      </c>
      <c r="D34" s="25"/>
      <c r="E34" s="1">
        <v>5</v>
      </c>
      <c r="F34" s="1">
        <v>5</v>
      </c>
      <c r="G34" s="5">
        <f>AVERAGE(E34:F34)*0.2+O34</f>
        <v>1.1499999999999999</v>
      </c>
      <c r="H34" s="5">
        <v>4.8</v>
      </c>
      <c r="I34" s="5">
        <f>H34*0.4</f>
        <v>1.92</v>
      </c>
      <c r="J34" s="1">
        <v>1</v>
      </c>
      <c r="K34" s="6">
        <v>4</v>
      </c>
      <c r="L34" s="6">
        <v>4.2</v>
      </c>
      <c r="M34" s="6">
        <f>AVERAGE(J34:L34)*0.4</f>
        <v>1.2266666666666666</v>
      </c>
      <c r="N34" s="6">
        <v>1.5</v>
      </c>
      <c r="O34" s="6">
        <f>(SUM(N34:N34)/5)*0.5</f>
        <v>0.15</v>
      </c>
      <c r="P34" s="6">
        <f>G34+I34+M34</f>
        <v>4.2966666666666669</v>
      </c>
      <c r="Q34" s="6">
        <f>INT(P34*10)/10+IF(MOD(P34*10,1)&gt;=0.5,0.1,0)</f>
        <v>4.3</v>
      </c>
      <c r="R34" s="1" t="str">
        <f>IF(P34&lt;3,3-P34,"No aplica")</f>
        <v>No aplica</v>
      </c>
    </row>
    <row r="35" spans="1:18">
      <c r="A35" s="24" t="s">
        <v>78</v>
      </c>
      <c r="B35" s="25"/>
      <c r="C35" s="24" t="s">
        <v>79</v>
      </c>
      <c r="D35" s="25"/>
      <c r="E35" s="1">
        <v>5</v>
      </c>
      <c r="F35" s="1">
        <v>4.8</v>
      </c>
      <c r="G35" s="5">
        <f>AVERAGE(E35:F35)*0.2+O35</f>
        <v>0.98000000000000009</v>
      </c>
      <c r="H35" s="5">
        <v>4.8</v>
      </c>
      <c r="I35" s="5">
        <f>H35*0.4</f>
        <v>1.92</v>
      </c>
      <c r="J35" s="1">
        <v>1.5</v>
      </c>
      <c r="K35" s="6">
        <v>4.3</v>
      </c>
      <c r="L35" s="6">
        <v>4</v>
      </c>
      <c r="M35" s="6">
        <f>AVERAGE(J35:L35)*0.4</f>
        <v>1.3066666666666669</v>
      </c>
      <c r="N35" s="6"/>
      <c r="O35" s="6">
        <f>(SUM(N35:N35)/5)*0.5</f>
        <v>0</v>
      </c>
      <c r="P35" s="6">
        <f>G35+I35+M35</f>
        <v>4.206666666666667</v>
      </c>
      <c r="Q35" s="6">
        <f>INT(P35*10)/10+IF(MOD(P35*10,1)&gt;=0.5,0.1,0)</f>
        <v>4.2</v>
      </c>
      <c r="R35" s="1" t="str">
        <f>IF(P35&lt;3,3-P35,"No aplica")</f>
        <v>No aplica</v>
      </c>
    </row>
  </sheetData>
  <autoFilter ref="A7:R7" xr:uid="{3657DEFD-78B6-4697-B73F-F75CECA33F92}">
    <filterColumn colId="0" showButton="0"/>
    <filterColumn colId="2" showButton="0"/>
    <sortState xmlns:xlrd2="http://schemas.microsoft.com/office/spreadsheetml/2017/richdata2" ref="A8:R35">
      <sortCondition ref="C7"/>
    </sortState>
  </autoFilter>
  <mergeCells count="68">
    <mergeCell ref="A1:B1"/>
    <mergeCell ref="C1:F1"/>
    <mergeCell ref="A2:B2"/>
    <mergeCell ref="C2:F2"/>
    <mergeCell ref="A3:B3"/>
    <mergeCell ref="C3:F3"/>
    <mergeCell ref="A4:B4"/>
    <mergeCell ref="C4:F4"/>
    <mergeCell ref="A6:D6"/>
    <mergeCell ref="E6:F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3:B23"/>
    <mergeCell ref="C23:D23"/>
    <mergeCell ref="A24:B24"/>
    <mergeCell ref="C24:D24"/>
    <mergeCell ref="A20:B20"/>
    <mergeCell ref="C20:D20"/>
    <mergeCell ref="A21:B21"/>
    <mergeCell ref="C21:D21"/>
    <mergeCell ref="A22:B22"/>
    <mergeCell ref="C22:D22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4:B34"/>
    <mergeCell ref="C34:D34"/>
    <mergeCell ref="A35:B35"/>
    <mergeCell ref="C35:D35"/>
    <mergeCell ref="A31:B31"/>
    <mergeCell ref="C31:D31"/>
    <mergeCell ref="A32:B32"/>
    <mergeCell ref="C32:D32"/>
    <mergeCell ref="A33:B33"/>
    <mergeCell ref="C33:D33"/>
  </mergeCells>
  <conditionalFormatting sqref="E8:F34 J8:L34 P8:P35">
    <cfRule type="expression" dxfId="11" priority="19">
      <formula>E8&gt;=3</formula>
    </cfRule>
    <cfRule type="expression" dxfId="10" priority="20">
      <formula>E8&lt;3</formula>
    </cfRule>
  </conditionalFormatting>
  <conditionalFormatting sqref="N8:N35">
    <cfRule type="cellIs" dxfId="9" priority="17" operator="greaterThan">
      <formula>0</formula>
    </cfRule>
    <cfRule type="containsBlanks" dxfId="8" priority="18">
      <formula>LEN(TRIM(N8))=0</formula>
    </cfRule>
  </conditionalFormatting>
  <conditionalFormatting sqref="H8:H34">
    <cfRule type="expression" dxfId="7" priority="14">
      <formula>H8&lt;3</formula>
    </cfRule>
  </conditionalFormatting>
  <conditionalFormatting sqref="H8:H34">
    <cfRule type="expression" dxfId="6" priority="13">
      <formula>H8&gt;=3</formula>
    </cfRule>
  </conditionalFormatting>
  <conditionalFormatting sqref="E35:F35">
    <cfRule type="expression" dxfId="5" priority="11">
      <formula>E35&gt;=3</formula>
    </cfRule>
    <cfRule type="expression" dxfId="4" priority="12">
      <formula>E35&lt;3</formula>
    </cfRule>
  </conditionalFormatting>
  <conditionalFormatting sqref="J35:L35">
    <cfRule type="expression" dxfId="3" priority="9">
      <formula>J35&gt;=3</formula>
    </cfRule>
    <cfRule type="expression" dxfId="2" priority="10">
      <formula>J35&lt;3</formula>
    </cfRule>
  </conditionalFormatting>
  <conditionalFormatting sqref="H35">
    <cfRule type="expression" dxfId="1" priority="2">
      <formula>H35&lt;3</formula>
    </cfRule>
  </conditionalFormatting>
  <conditionalFormatting sqref="H35">
    <cfRule type="expression" dxfId="0" priority="1">
      <formula>H35&gt;=3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Mauricio Valoyes Porras</cp:lastModifiedBy>
  <cp:revision/>
  <dcterms:created xsi:type="dcterms:W3CDTF">2025-06-18T04:01:52Z</dcterms:created>
  <dcterms:modified xsi:type="dcterms:W3CDTF">2026-06-01T20:05:29Z</dcterms:modified>
  <cp:category/>
  <cp:contentStatus/>
</cp:coreProperties>
</file>