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/>
  <xr:revisionPtr revIDLastSave="2088" documentId="11_7E4E55BF84DCCEE3ED7FF6F99031F45BFA722949" xr6:coauthVersionLast="47" xr6:coauthVersionMax="47" xr10:uidLastSave="{590E741B-89A7-4ECF-8827-8F00E549D5A5}"/>
  <bookViews>
    <workbookView xWindow="240" yWindow="105" windowWidth="14805" windowHeight="8010" firstSheet="1" activeTab="1" xr2:uid="{00000000-000D-0000-FFFF-FFFF00000000}"/>
  </bookViews>
  <sheets>
    <sheet name="Corte" sheetId="1" r:id="rId1"/>
    <sheet name="Corte 1" sheetId="2" r:id="rId2"/>
  </sheets>
  <definedNames>
    <definedName name="_xlnm._FilterDatabase" localSheetId="0" hidden="1">Corte!$A$7:$W$7</definedName>
    <definedName name="_xlnm._FilterDatabase" localSheetId="1" hidden="1">'Corte 1'!$A$7:$O$7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L18" i="2"/>
  <c r="J18" i="2"/>
  <c r="M18" i="2"/>
  <c r="F29" i="1"/>
  <c r="N29" i="1"/>
  <c r="T29" i="1"/>
  <c r="L29" i="1" s="1"/>
  <c r="U29" i="1"/>
  <c r="V29" i="1"/>
  <c r="W29" i="1"/>
  <c r="J11" i="2"/>
  <c r="J12" i="2"/>
  <c r="J13" i="2"/>
  <c r="J15" i="2"/>
  <c r="J16" i="2"/>
  <c r="J17" i="2"/>
  <c r="J19" i="2"/>
  <c r="J20" i="2"/>
  <c r="J21" i="2"/>
  <c r="J22" i="2"/>
  <c r="J23" i="2"/>
  <c r="J24" i="2"/>
  <c r="J25" i="2"/>
  <c r="J26" i="2"/>
  <c r="J27" i="2"/>
  <c r="M27" i="2" s="1"/>
  <c r="J28" i="2"/>
  <c r="J29" i="2"/>
  <c r="J9" i="2"/>
  <c r="J14" i="2"/>
  <c r="J8" i="2"/>
  <c r="J10" i="2"/>
  <c r="F8" i="2"/>
  <c r="L14" i="2"/>
  <c r="M14" i="2"/>
  <c r="L9" i="2"/>
  <c r="M9" i="2"/>
  <c r="L29" i="2"/>
  <c r="M29" i="2"/>
  <c r="L28" i="2"/>
  <c r="M28" i="2"/>
  <c r="L27" i="2"/>
  <c r="L26" i="2"/>
  <c r="M26" i="2"/>
  <c r="L25" i="2"/>
  <c r="M25" i="2"/>
  <c r="L24" i="2"/>
  <c r="M24" i="2"/>
  <c r="L23" i="2"/>
  <c r="M23" i="2"/>
  <c r="L22" i="2"/>
  <c r="M22" i="2"/>
  <c r="L21" i="2"/>
  <c r="M21" i="2"/>
  <c r="L20" i="2"/>
  <c r="M20" i="2"/>
  <c r="L19" i="2"/>
  <c r="M19" i="2"/>
  <c r="L17" i="2"/>
  <c r="M17" i="2"/>
  <c r="L16" i="2"/>
  <c r="M16" i="2"/>
  <c r="L15" i="2"/>
  <c r="M15" i="2"/>
  <c r="L13" i="2"/>
  <c r="M13" i="2"/>
  <c r="L12" i="2"/>
  <c r="M12" i="2"/>
  <c r="L11" i="2"/>
  <c r="M11" i="2"/>
  <c r="L10" i="2"/>
  <c r="L8" i="2"/>
  <c r="M8" i="2"/>
  <c r="F27" i="1"/>
  <c r="N27" i="1"/>
  <c r="T27" i="1"/>
  <c r="L27" i="1" s="1"/>
  <c r="U27" i="1"/>
  <c r="V27" i="1"/>
  <c r="W27" i="1"/>
  <c r="F28" i="1"/>
  <c r="N28" i="1"/>
  <c r="T28" i="1"/>
  <c r="L28" i="1" s="1"/>
  <c r="U28" i="1"/>
  <c r="V28" i="1"/>
  <c r="W28" i="1"/>
  <c r="T8" i="1"/>
  <c r="F13" i="1"/>
  <c r="N13" i="1"/>
  <c r="T13" i="1"/>
  <c r="L13" i="1" s="1"/>
  <c r="T26" i="1"/>
  <c r="L26" i="1" s="1"/>
  <c r="N26" i="1"/>
  <c r="F26" i="1"/>
  <c r="U26" i="1" s="1"/>
  <c r="T24" i="1"/>
  <c r="L24" i="1" s="1"/>
  <c r="N24" i="1"/>
  <c r="F24" i="1"/>
  <c r="U24" i="1" s="1"/>
  <c r="T22" i="1"/>
  <c r="L22" i="1" s="1"/>
  <c r="N22" i="1"/>
  <c r="F22" i="1"/>
  <c r="U22" i="1" s="1"/>
  <c r="T20" i="1"/>
  <c r="L20" i="1" s="1"/>
  <c r="N20" i="1"/>
  <c r="F20" i="1"/>
  <c r="U20" i="1" s="1"/>
  <c r="T18" i="1"/>
  <c r="L18" i="1" s="1"/>
  <c r="N18" i="1"/>
  <c r="F18" i="1"/>
  <c r="U18" i="1" s="1"/>
  <c r="T17" i="1"/>
  <c r="L17" i="1" s="1"/>
  <c r="N17" i="1"/>
  <c r="F17" i="1"/>
  <c r="U17" i="1" s="1"/>
  <c r="T15" i="1"/>
  <c r="L15" i="1" s="1"/>
  <c r="N15" i="1"/>
  <c r="F15" i="1"/>
  <c r="U15" i="1" s="1"/>
  <c r="T14" i="1"/>
  <c r="L14" i="1" s="1"/>
  <c r="N14" i="1"/>
  <c r="F14" i="1"/>
  <c r="U14" i="1" s="1"/>
  <c r="T12" i="1"/>
  <c r="L12" i="1" s="1"/>
  <c r="N12" i="1"/>
  <c r="F12" i="1"/>
  <c r="U12" i="1" s="1"/>
  <c r="T11" i="1"/>
  <c r="L11" i="1" s="1"/>
  <c r="N11" i="1"/>
  <c r="F11" i="1"/>
  <c r="U11" i="1" s="1"/>
  <c r="T10" i="1"/>
  <c r="L10" i="1" s="1"/>
  <c r="N10" i="1"/>
  <c r="F10" i="1"/>
  <c r="U10" i="1" s="1"/>
  <c r="T9" i="1"/>
  <c r="L9" i="1" s="1"/>
  <c r="N9" i="1"/>
  <c r="F9" i="1"/>
  <c r="U9" i="1" s="1"/>
  <c r="L8" i="1"/>
  <c r="N8" i="1"/>
  <c r="F8" i="1"/>
  <c r="U8" i="1" s="1"/>
  <c r="T16" i="1"/>
  <c r="L16" i="1" s="1"/>
  <c r="N16" i="1"/>
  <c r="F16" i="1"/>
  <c r="U16" i="1" s="1"/>
  <c r="T23" i="1"/>
  <c r="L23" i="1" s="1"/>
  <c r="N23" i="1"/>
  <c r="F23" i="1"/>
  <c r="U23" i="1" s="1"/>
  <c r="T21" i="1"/>
  <c r="L21" i="1" s="1"/>
  <c r="N21" i="1"/>
  <c r="F21" i="1"/>
  <c r="U21" i="1" s="1"/>
  <c r="T19" i="1"/>
  <c r="L19" i="1" s="1"/>
  <c r="N19" i="1"/>
  <c r="F19" i="1"/>
  <c r="U19" i="1" s="1"/>
  <c r="T25" i="1"/>
  <c r="L25" i="1" s="1"/>
  <c r="N25" i="1"/>
  <c r="F25" i="1"/>
  <c r="U25" i="1" s="1"/>
  <c r="M10" i="2" l="1"/>
  <c r="O18" i="2"/>
  <c r="N18" i="2"/>
  <c r="O8" i="2"/>
  <c r="N8" i="2"/>
  <c r="O10" i="2"/>
  <c r="N10" i="2"/>
  <c r="O11" i="2"/>
  <c r="N11" i="2"/>
  <c r="O12" i="2"/>
  <c r="N12" i="2"/>
  <c r="O13" i="2"/>
  <c r="N13" i="2"/>
  <c r="O15" i="2"/>
  <c r="N15" i="2"/>
  <c r="O16" i="2"/>
  <c r="N16" i="2"/>
  <c r="O17" i="2"/>
  <c r="N17" i="2"/>
  <c r="O19" i="2"/>
  <c r="N19" i="2"/>
  <c r="O20" i="2"/>
  <c r="N20" i="2"/>
  <c r="O21" i="2"/>
  <c r="N21" i="2"/>
  <c r="O22" i="2"/>
  <c r="N22" i="2"/>
  <c r="O23" i="2"/>
  <c r="N23" i="2"/>
  <c r="O24" i="2"/>
  <c r="N24" i="2"/>
  <c r="O25" i="2"/>
  <c r="N25" i="2"/>
  <c r="O26" i="2"/>
  <c r="N26" i="2"/>
  <c r="O27" i="2"/>
  <c r="N27" i="2"/>
  <c r="O28" i="2"/>
  <c r="N28" i="2"/>
  <c r="O29" i="2"/>
  <c r="N29" i="2"/>
  <c r="O9" i="2"/>
  <c r="N9" i="2"/>
  <c r="O14" i="2"/>
  <c r="N14" i="2"/>
  <c r="U13" i="1"/>
  <c r="W26" i="1"/>
  <c r="V26" i="1"/>
  <c r="W24" i="1"/>
  <c r="V24" i="1"/>
  <c r="W22" i="1"/>
  <c r="V22" i="1"/>
  <c r="W20" i="1"/>
  <c r="V20" i="1"/>
  <c r="W18" i="1"/>
  <c r="V18" i="1"/>
  <c r="W17" i="1"/>
  <c r="V17" i="1"/>
  <c r="W15" i="1"/>
  <c r="V15" i="1"/>
  <c r="W14" i="1"/>
  <c r="V14" i="1"/>
  <c r="W12" i="1"/>
  <c r="V12" i="1"/>
  <c r="W11" i="1"/>
  <c r="V11" i="1"/>
  <c r="W10" i="1"/>
  <c r="V10" i="1"/>
  <c r="W9" i="1"/>
  <c r="V9" i="1"/>
  <c r="W8" i="1"/>
  <c r="V8" i="1"/>
  <c r="W16" i="1"/>
  <c r="V16" i="1"/>
  <c r="W23" i="1"/>
  <c r="V23" i="1"/>
  <c r="W21" i="1"/>
  <c r="V21" i="1"/>
  <c r="W19" i="1"/>
  <c r="V19" i="1"/>
  <c r="W25" i="1"/>
  <c r="V25" i="1"/>
  <c r="V13" i="1" l="1"/>
  <c r="W13" i="1"/>
</calcChain>
</file>

<file path=xl/sharedStrings.xml><?xml version="1.0" encoding="utf-8"?>
<sst xmlns="http://schemas.openxmlformats.org/spreadsheetml/2006/main" count="136" uniqueCount="69">
  <si>
    <t>Asignatura</t>
  </si>
  <si>
    <t>Programación 1</t>
  </si>
  <si>
    <t>Semestre</t>
  </si>
  <si>
    <t>2026 - 1</t>
  </si>
  <si>
    <t>Grupo</t>
  </si>
  <si>
    <t>1M y 1E</t>
  </si>
  <si>
    <t>Docente</t>
  </si>
  <si>
    <t>David Mauricio Valoyes Porras</t>
  </si>
  <si>
    <t>Datos estudiante</t>
  </si>
  <si>
    <t>Quices</t>
  </si>
  <si>
    <t>Trabajos en clase, talleres y exposiciones</t>
  </si>
  <si>
    <t>Parcial</t>
  </si>
  <si>
    <t>Puntos extra y bonos (0,1 cada uno)</t>
  </si>
  <si>
    <t>Total bonos</t>
  </si>
  <si>
    <t>Definitiva</t>
  </si>
  <si>
    <t>Nota a sala</t>
  </si>
  <si>
    <t>Para nota aprobatoria</t>
  </si>
  <si>
    <t>No° estudiante</t>
  </si>
  <si>
    <t>Nombre estudiante</t>
  </si>
  <si>
    <t>Quiz</t>
  </si>
  <si>
    <t>Taller</t>
  </si>
  <si>
    <t>Clase</t>
  </si>
  <si>
    <t>Exposición</t>
  </si>
  <si>
    <t>Actividad o razón</t>
  </si>
  <si>
    <t>1110045865 </t>
  </si>
  <si>
    <t>AGREDA AGUILAR JUAN CAMILO </t>
  </si>
  <si>
    <t>1027282826 </t>
  </si>
  <si>
    <t>BORBON RODRÍGUEZ JUAN DIEGO </t>
  </si>
  <si>
    <t>1141322288 </t>
  </si>
  <si>
    <t>BUITRAGO LARA PAOLA SOFIA </t>
  </si>
  <si>
    <t>1013125467 </t>
  </si>
  <si>
    <t>CELY HERNANDEZ ANDRES FELIPE </t>
  </si>
  <si>
    <t>1050608113 </t>
  </si>
  <si>
    <t>CHACON PEREZ JULIANA VALENTINA </t>
  </si>
  <si>
    <t>1043974749 </t>
  </si>
  <si>
    <t>FUENTES GONZALEZ JUAN JOSE </t>
  </si>
  <si>
    <t>1027281371 </t>
  </si>
  <si>
    <t>GONZALEZ VILLARREAL JUAN DIEGO </t>
  </si>
  <si>
    <t>1034518381 </t>
  </si>
  <si>
    <t>MARTINEZ HERNANDEZ JUAN ESTEBAN </t>
  </si>
  <si>
    <t>1145925439 </t>
  </si>
  <si>
    <t>MURIEL CORREA JUAN DAVID </t>
  </si>
  <si>
    <t>1031811187 </t>
  </si>
  <si>
    <t>PEREZ JIMENEZ ANDRES FELIPE </t>
  </si>
  <si>
    <t>1142514025 </t>
  </si>
  <si>
    <t>QUINTERO PELAEZ JEAN PAUL </t>
  </si>
  <si>
    <t>1023164894 </t>
  </si>
  <si>
    <t>RINCON ARIAS ALEJANDRO </t>
  </si>
  <si>
    <t>1031801122 </t>
  </si>
  <si>
    <t>ROBAYO RODRIGUEZ JUAN DAVID </t>
  </si>
  <si>
    <t>1019843971 </t>
  </si>
  <si>
    <t>RODRIGUEZ BALLESTEROS EMANUEL </t>
  </si>
  <si>
    <t>1027211072 </t>
  </si>
  <si>
    <t>ROJAS PEREZ SAMUEL </t>
  </si>
  <si>
    <t>1028482706 </t>
  </si>
  <si>
    <t>TOBASIA JACOME HAROLD DANIEL </t>
  </si>
  <si>
    <t>1089935202 </t>
  </si>
  <si>
    <t>TRIANA GALVIS TOMAS </t>
  </si>
  <si>
    <t>1095551423 </t>
  </si>
  <si>
    <t>UMAÑA BONILLA EILEEN TATIANA </t>
  </si>
  <si>
    <t>1030585040 </t>
  </si>
  <si>
    <t>VALERO CESPEDES THOMAS ALEJANDRO </t>
  </si>
  <si>
    <t>1020813500 </t>
  </si>
  <si>
    <t>BOLIVAR NIVIA NICOLAS ANDRES</t>
  </si>
  <si>
    <t>ELEJALDE CARDENAS JUAN DIEGO</t>
  </si>
  <si>
    <t xml:space="preserve">MEJIA PEREZ DANNA ISABELLA </t>
  </si>
  <si>
    <t>Taller 1</t>
  </si>
  <si>
    <t>Taller 2</t>
  </si>
  <si>
    <t>Taller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</si>
</sst>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theme="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D864A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4" fillId="0" borderId="5" xfId="0" applyFont="1" applyBorder="1"/>
    <xf numFmtId="0" fontId="3" fillId="0" borderId="5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9" fontId="1" fillId="2" borderId="2" xfId="0" applyNumberFormat="1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3"/>
      </font>
      <fill>
        <patternFill patternType="solid">
          <bgColor theme="4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ED86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opLeftCell="A3" workbookViewId="0">
      <selection activeCell="C8" sqref="C8"/>
    </sheetView>
  </sheetViews>
  <sheetFormatPr defaultRowHeight="15"/>
  <cols>
    <col min="1" max="1" width="12.28515625" customWidth="1"/>
    <col min="4" max="4" width="27.140625" customWidth="1"/>
    <col min="8" max="8" width="10.85546875" bestFit="1" customWidth="1"/>
    <col min="14" max="18" width="16.28515625" bestFit="1" customWidth="1"/>
    <col min="19" max="19" width="16.28515625" customWidth="1"/>
    <col min="21" max="21" width="11" bestFit="1" customWidth="1"/>
    <col min="22" max="22" width="32" bestFit="1" customWidth="1"/>
    <col min="23" max="23" width="20.5703125" bestFit="1" customWidth="1"/>
  </cols>
  <sheetData>
    <row r="1" spans="1:23">
      <c r="A1" s="28" t="s">
        <v>0</v>
      </c>
      <c r="B1" s="28"/>
      <c r="C1" s="29" t="s">
        <v>1</v>
      </c>
      <c r="D1" s="29"/>
      <c r="E1" s="29"/>
      <c r="F1" s="29"/>
      <c r="G1" s="29"/>
      <c r="H1" s="29"/>
      <c r="I1" s="29"/>
    </row>
    <row r="2" spans="1:23">
      <c r="A2" s="28" t="s">
        <v>2</v>
      </c>
      <c r="B2" s="28"/>
      <c r="C2" s="29" t="s">
        <v>3</v>
      </c>
      <c r="D2" s="29"/>
      <c r="E2" s="29"/>
      <c r="F2" s="29"/>
      <c r="G2" s="29"/>
      <c r="H2" s="29"/>
      <c r="I2" s="29"/>
    </row>
    <row r="3" spans="1:23">
      <c r="A3" s="32" t="s">
        <v>4</v>
      </c>
      <c r="B3" s="33"/>
      <c r="C3" s="34" t="s">
        <v>5</v>
      </c>
      <c r="D3" s="35"/>
      <c r="E3" s="35"/>
      <c r="F3" s="35"/>
      <c r="G3" s="35"/>
      <c r="H3" s="35"/>
      <c r="I3" s="36"/>
      <c r="N3" s="12"/>
      <c r="O3" s="12"/>
      <c r="P3" s="12"/>
      <c r="Q3" s="12"/>
      <c r="R3" s="12"/>
      <c r="S3" s="12"/>
    </row>
    <row r="4" spans="1:23">
      <c r="A4" s="28" t="s">
        <v>6</v>
      </c>
      <c r="B4" s="28"/>
      <c r="C4" s="29" t="s">
        <v>7</v>
      </c>
      <c r="D4" s="29"/>
      <c r="E4" s="29"/>
      <c r="F4" s="29"/>
      <c r="G4" s="29"/>
      <c r="H4" s="29"/>
      <c r="I4" s="29"/>
    </row>
    <row r="6" spans="1:23">
      <c r="A6" s="30" t="s">
        <v>8</v>
      </c>
      <c r="B6" s="30"/>
      <c r="C6" s="30"/>
      <c r="D6" s="30"/>
      <c r="E6" s="2" t="s">
        <v>9</v>
      </c>
      <c r="F6" s="4">
        <v>0.2</v>
      </c>
      <c r="G6" s="42" t="s">
        <v>10</v>
      </c>
      <c r="H6" s="43"/>
      <c r="I6" s="43"/>
      <c r="J6" s="43"/>
      <c r="K6" s="44"/>
      <c r="L6" s="3">
        <v>0.3</v>
      </c>
      <c r="M6" s="2" t="s">
        <v>11</v>
      </c>
      <c r="N6" s="4">
        <v>0.5</v>
      </c>
      <c r="O6" s="39" t="s">
        <v>12</v>
      </c>
      <c r="P6" s="40"/>
      <c r="Q6" s="40"/>
      <c r="R6" s="40"/>
      <c r="S6" s="41"/>
      <c r="T6" s="11" t="s">
        <v>13</v>
      </c>
      <c r="U6" s="7" t="s">
        <v>14</v>
      </c>
      <c r="V6" s="7" t="s">
        <v>15</v>
      </c>
      <c r="W6" s="2" t="s">
        <v>16</v>
      </c>
    </row>
    <row r="7" spans="1:23">
      <c r="A7" s="31" t="s">
        <v>17</v>
      </c>
      <c r="B7" s="31"/>
      <c r="C7" s="31" t="s">
        <v>18</v>
      </c>
      <c r="D7" s="31"/>
      <c r="E7" s="8" t="s">
        <v>19</v>
      </c>
      <c r="F7" s="8"/>
      <c r="G7" s="8" t="s">
        <v>20</v>
      </c>
      <c r="H7" s="8" t="s">
        <v>21</v>
      </c>
      <c r="I7" s="8" t="s">
        <v>22</v>
      </c>
      <c r="J7" s="8" t="s">
        <v>20</v>
      </c>
      <c r="K7" s="8" t="s">
        <v>20</v>
      </c>
      <c r="L7" s="9"/>
      <c r="M7" s="8"/>
      <c r="N7" s="10"/>
      <c r="O7" s="10" t="s">
        <v>23</v>
      </c>
      <c r="P7" s="10" t="s">
        <v>23</v>
      </c>
      <c r="Q7" s="10" t="s">
        <v>23</v>
      </c>
      <c r="R7" s="10" t="s">
        <v>23</v>
      </c>
      <c r="S7" s="10" t="s">
        <v>23</v>
      </c>
      <c r="T7" s="10"/>
      <c r="U7" s="10"/>
      <c r="V7" s="10"/>
      <c r="W7" s="8"/>
    </row>
    <row r="8" spans="1:23">
      <c r="A8" s="25" t="s">
        <v>24</v>
      </c>
      <c r="B8" s="26"/>
      <c r="C8" s="13" t="s">
        <v>25</v>
      </c>
      <c r="D8" s="14"/>
      <c r="E8" s="5"/>
      <c r="F8" s="1">
        <f>E8*0.1</f>
        <v>0</v>
      </c>
      <c r="G8" s="1"/>
      <c r="H8" s="1"/>
      <c r="I8" s="1"/>
      <c r="J8" s="1"/>
      <c r="K8" s="1"/>
      <c r="L8" s="5" t="e">
        <f>AVERAGE(G8:K8)*0.2+T8</f>
        <v>#DIV/0!</v>
      </c>
      <c r="M8" s="1"/>
      <c r="N8" s="6">
        <f>M8*0.5</f>
        <v>0</v>
      </c>
      <c r="O8" s="6"/>
      <c r="P8" s="6"/>
      <c r="Q8" s="6"/>
      <c r="R8" s="6"/>
      <c r="S8" s="6"/>
      <c r="T8" s="6">
        <f>(SUM(O8:S8)/5)*0.5</f>
        <v>0</v>
      </c>
      <c r="U8" s="6" t="e">
        <f>F8+L8+N8</f>
        <v>#DIV/0!</v>
      </c>
      <c r="V8" s="6" t="e">
        <f>INT(U8*10)/10+IF(MOD(U8*10,1)&gt;=0.5,0.1,0)</f>
        <v>#DIV/0!</v>
      </c>
      <c r="W8" s="1" t="e">
        <f>IF(U8&lt;3,3-U8,"No aplica")</f>
        <v>#DIV/0!</v>
      </c>
    </row>
    <row r="9" spans="1:23">
      <c r="A9" s="25" t="s">
        <v>26</v>
      </c>
      <c r="B9" s="26"/>
      <c r="C9" s="13" t="s">
        <v>27</v>
      </c>
      <c r="D9" s="14"/>
      <c r="E9" s="5"/>
      <c r="F9" s="1">
        <f>E9*0.1</f>
        <v>0</v>
      </c>
      <c r="G9" s="1"/>
      <c r="H9" s="1"/>
      <c r="I9" s="1"/>
      <c r="J9" s="1"/>
      <c r="K9" s="1"/>
      <c r="L9" s="5" t="e">
        <f>AVERAGE(G9:K9)*0.2+T9</f>
        <v>#DIV/0!</v>
      </c>
      <c r="M9" s="1"/>
      <c r="N9" s="6">
        <f>M9*0.5</f>
        <v>0</v>
      </c>
      <c r="O9" s="6"/>
      <c r="P9" s="6"/>
      <c r="Q9" s="6"/>
      <c r="R9" s="6"/>
      <c r="S9" s="6"/>
      <c r="T9" s="6">
        <f>(SUM(O9:S9)/5)*0.5</f>
        <v>0</v>
      </c>
      <c r="U9" s="6" t="e">
        <f t="shared" ref="U9:U26" si="0">F9+L9+N9</f>
        <v>#DIV/0!</v>
      </c>
      <c r="V9" s="6" t="e">
        <f>INT(U9*10)/10+IF(MOD(U9*10,1)&gt;=0.5,0.1,0)</f>
        <v>#DIV/0!</v>
      </c>
      <c r="W9" s="1" t="e">
        <f>IF(U9&lt;3,3-U9,"No aplica")</f>
        <v>#DIV/0!</v>
      </c>
    </row>
    <row r="10" spans="1:23">
      <c r="A10" s="25" t="s">
        <v>28</v>
      </c>
      <c r="B10" s="26"/>
      <c r="C10" s="13" t="s">
        <v>29</v>
      </c>
      <c r="D10" s="14"/>
      <c r="E10" s="5"/>
      <c r="F10" s="1">
        <f>E10*0.1</f>
        <v>0</v>
      </c>
      <c r="G10" s="1"/>
      <c r="H10" s="1"/>
      <c r="I10" s="1"/>
      <c r="J10" s="1"/>
      <c r="K10" s="1"/>
      <c r="L10" s="5" t="e">
        <f>AVERAGE(G10:K10)*0.2+T10</f>
        <v>#DIV/0!</v>
      </c>
      <c r="M10" s="1"/>
      <c r="N10" s="6">
        <f>M10*0.5</f>
        <v>0</v>
      </c>
      <c r="O10" s="6"/>
      <c r="P10" s="6"/>
      <c r="Q10" s="6"/>
      <c r="R10" s="6"/>
      <c r="S10" s="6"/>
      <c r="T10" s="6">
        <f>(SUM(O10:S10)/5)*0.5</f>
        <v>0</v>
      </c>
      <c r="U10" s="6" t="e">
        <f t="shared" si="0"/>
        <v>#DIV/0!</v>
      </c>
      <c r="V10" s="6" t="e">
        <f>INT(U10*10)/10+IF(MOD(U10*10,1)&gt;=0.5,0.1,0)</f>
        <v>#DIV/0!</v>
      </c>
      <c r="W10" s="1" t="e">
        <f>IF(U10&lt;3,3-U10,"No aplica")</f>
        <v>#DIV/0!</v>
      </c>
    </row>
    <row r="11" spans="1:23">
      <c r="A11" s="25" t="s">
        <v>30</v>
      </c>
      <c r="B11" s="26"/>
      <c r="C11" s="13" t="s">
        <v>31</v>
      </c>
      <c r="D11" s="14"/>
      <c r="E11" s="5"/>
      <c r="F11" s="1">
        <f>E11*0.1</f>
        <v>0</v>
      </c>
      <c r="G11" s="1"/>
      <c r="H11" s="1"/>
      <c r="I11" s="1"/>
      <c r="J11" s="1"/>
      <c r="K11" s="1"/>
      <c r="L11" s="5" t="e">
        <f>AVERAGE(G11:K11)*0.2+T11</f>
        <v>#DIV/0!</v>
      </c>
      <c r="M11" s="1"/>
      <c r="N11" s="6">
        <f>M11*0.5</f>
        <v>0</v>
      </c>
      <c r="O11" s="6"/>
      <c r="P11" s="6"/>
      <c r="Q11" s="6"/>
      <c r="R11" s="6"/>
      <c r="S11" s="6"/>
      <c r="T11" s="6">
        <f>(SUM(O11:S11)/5)*0.5</f>
        <v>0</v>
      </c>
      <c r="U11" s="6" t="e">
        <f t="shared" si="0"/>
        <v>#DIV/0!</v>
      </c>
      <c r="V11" s="6" t="e">
        <f>INT(U11*10)/10+IF(MOD(U11*10,1)&gt;=0.5,0.1,0)</f>
        <v>#DIV/0!</v>
      </c>
      <c r="W11" s="1" t="e">
        <f>IF(U11&lt;3,3-U11,"No aplica")</f>
        <v>#DIV/0!</v>
      </c>
    </row>
    <row r="12" spans="1:23">
      <c r="A12" s="25" t="s">
        <v>32</v>
      </c>
      <c r="B12" s="26"/>
      <c r="C12" s="13" t="s">
        <v>33</v>
      </c>
      <c r="D12" s="14"/>
      <c r="E12" s="5"/>
      <c r="F12" s="1">
        <f>E12*0.1</f>
        <v>0</v>
      </c>
      <c r="G12" s="1"/>
      <c r="H12" s="1"/>
      <c r="I12" s="1"/>
      <c r="J12" s="1"/>
      <c r="K12" s="1"/>
      <c r="L12" s="5" t="e">
        <f>AVERAGE(G12:K12)*0.2+T12</f>
        <v>#DIV/0!</v>
      </c>
      <c r="M12" s="1"/>
      <c r="N12" s="6">
        <f>M12*0.5</f>
        <v>0</v>
      </c>
      <c r="O12" s="6"/>
      <c r="P12" s="6"/>
      <c r="Q12" s="6"/>
      <c r="R12" s="6"/>
      <c r="S12" s="6"/>
      <c r="T12" s="6">
        <f>(SUM(O12:S12)/5)*0.5</f>
        <v>0</v>
      </c>
      <c r="U12" s="6" t="e">
        <f t="shared" si="0"/>
        <v>#DIV/0!</v>
      </c>
      <c r="V12" s="6" t="e">
        <f>INT(U12*10)/10+IF(MOD(U12*10,1)&gt;=0.5,0.1,0)</f>
        <v>#DIV/0!</v>
      </c>
      <c r="W12" s="1" t="e">
        <f>IF(U12&lt;3,3-U12,"No aplica")</f>
        <v>#DIV/0!</v>
      </c>
    </row>
    <row r="13" spans="1:23">
      <c r="A13" s="25" t="s">
        <v>34</v>
      </c>
      <c r="B13" s="26"/>
      <c r="C13" s="13" t="s">
        <v>35</v>
      </c>
      <c r="D13" s="14"/>
      <c r="E13" s="5"/>
      <c r="F13" s="1">
        <f>E13*0.1</f>
        <v>0</v>
      </c>
      <c r="G13" s="1"/>
      <c r="H13" s="1"/>
      <c r="I13" s="1"/>
      <c r="J13" s="1"/>
      <c r="K13" s="1"/>
      <c r="L13" s="5" t="e">
        <f>AVERAGE(G13:K13)*0.2+T13</f>
        <v>#DIV/0!</v>
      </c>
      <c r="M13" s="1"/>
      <c r="N13" s="6">
        <f>M13*0.5</f>
        <v>0</v>
      </c>
      <c r="O13" s="6"/>
      <c r="P13" s="6"/>
      <c r="Q13" s="6"/>
      <c r="R13" s="6"/>
      <c r="S13" s="6"/>
      <c r="T13" s="6">
        <f>(SUM(O13:S13)/5)*0.5</f>
        <v>0</v>
      </c>
      <c r="U13" s="6" t="e">
        <f t="shared" si="0"/>
        <v>#DIV/0!</v>
      </c>
      <c r="V13" s="6" t="e">
        <f>INT(U13*10)/10+IF(MOD(U13*10,1)&gt;=0.5,0.1,0)</f>
        <v>#DIV/0!</v>
      </c>
      <c r="W13" s="1" t="e">
        <f>IF(U13&lt;3,3-U13,"No aplica")</f>
        <v>#DIV/0!</v>
      </c>
    </row>
    <row r="14" spans="1:23">
      <c r="A14" s="25" t="s">
        <v>36</v>
      </c>
      <c r="B14" s="26"/>
      <c r="C14" s="13" t="s">
        <v>37</v>
      </c>
      <c r="D14" s="14"/>
      <c r="E14" s="5"/>
      <c r="F14" s="1">
        <f>E14*0.1</f>
        <v>0</v>
      </c>
      <c r="G14" s="1"/>
      <c r="H14" s="1"/>
      <c r="I14" s="1"/>
      <c r="J14" s="1"/>
      <c r="K14" s="1"/>
      <c r="L14" s="5" t="e">
        <f>AVERAGE(G14:K14)*0.2+T14</f>
        <v>#DIV/0!</v>
      </c>
      <c r="M14" s="1"/>
      <c r="N14" s="6">
        <f>M14*0.5</f>
        <v>0</v>
      </c>
      <c r="O14" s="6"/>
      <c r="P14" s="6"/>
      <c r="Q14" s="6"/>
      <c r="R14" s="6"/>
      <c r="S14" s="6"/>
      <c r="T14" s="6">
        <f>(SUM(O14:S14)/5)*0.5</f>
        <v>0</v>
      </c>
      <c r="U14" s="6" t="e">
        <f t="shared" si="0"/>
        <v>#DIV/0!</v>
      </c>
      <c r="V14" s="6" t="e">
        <f>INT(U14*10)/10+IF(MOD(U14*10,1)&gt;=0.5,0.1,0)</f>
        <v>#DIV/0!</v>
      </c>
      <c r="W14" s="1" t="e">
        <f>IF(U14&lt;3,3-U14,"No aplica")</f>
        <v>#DIV/0!</v>
      </c>
    </row>
    <row r="15" spans="1:23">
      <c r="A15" s="25" t="s">
        <v>38</v>
      </c>
      <c r="B15" s="26"/>
      <c r="C15" s="13" t="s">
        <v>39</v>
      </c>
      <c r="D15" s="14"/>
      <c r="E15" s="5"/>
      <c r="F15" s="1">
        <f>E15*0.1</f>
        <v>0</v>
      </c>
      <c r="G15" s="1"/>
      <c r="H15" s="1"/>
      <c r="I15" s="1"/>
      <c r="J15" s="1"/>
      <c r="K15" s="1"/>
      <c r="L15" s="5" t="e">
        <f>AVERAGE(G15:K15)*0.2+T15</f>
        <v>#DIV/0!</v>
      </c>
      <c r="M15" s="1"/>
      <c r="N15" s="6">
        <f>M15*0.5</f>
        <v>0</v>
      </c>
      <c r="O15" s="6"/>
      <c r="P15" s="6"/>
      <c r="Q15" s="6"/>
      <c r="R15" s="6"/>
      <c r="S15" s="6"/>
      <c r="T15" s="6">
        <f>(SUM(O15:S15)/5)*0.5</f>
        <v>0</v>
      </c>
      <c r="U15" s="6" t="e">
        <f t="shared" si="0"/>
        <v>#DIV/0!</v>
      </c>
      <c r="V15" s="6" t="e">
        <f>INT(U15*10)/10+IF(MOD(U15*10,1)&gt;=0.5,0.1,0)</f>
        <v>#DIV/0!</v>
      </c>
      <c r="W15" s="1" t="e">
        <f>IF(U15&lt;3,3-U15,"No aplica")</f>
        <v>#DIV/0!</v>
      </c>
    </row>
    <row r="16" spans="1:23">
      <c r="A16" s="25" t="s">
        <v>40</v>
      </c>
      <c r="B16" s="26"/>
      <c r="C16" s="13" t="s">
        <v>41</v>
      </c>
      <c r="D16" s="14"/>
      <c r="E16" s="5"/>
      <c r="F16" s="1">
        <f>E16*0.1</f>
        <v>0</v>
      </c>
      <c r="G16" s="1"/>
      <c r="H16" s="1"/>
      <c r="I16" s="1"/>
      <c r="J16" s="1"/>
      <c r="K16" s="1"/>
      <c r="L16" s="5" t="e">
        <f>AVERAGE(G16:K16)*0.2+T16</f>
        <v>#DIV/0!</v>
      </c>
      <c r="M16" s="1"/>
      <c r="N16" s="6">
        <f>M16*0.5</f>
        <v>0</v>
      </c>
      <c r="O16" s="6"/>
      <c r="P16" s="6"/>
      <c r="Q16" s="6"/>
      <c r="R16" s="6"/>
      <c r="S16" s="6"/>
      <c r="T16" s="6">
        <f>(SUM(O16:S16)/5)*0.5</f>
        <v>0</v>
      </c>
      <c r="U16" s="6" t="e">
        <f t="shared" si="0"/>
        <v>#DIV/0!</v>
      </c>
      <c r="V16" s="6" t="e">
        <f>INT(U16*10)/10+IF(MOD(U16*10,1)&gt;=0.5,0.1,0)</f>
        <v>#DIV/0!</v>
      </c>
      <c r="W16" s="1" t="e">
        <f>IF(U16&lt;3,3-U16,"No aplica")</f>
        <v>#DIV/0!</v>
      </c>
    </row>
    <row r="17" spans="1:23">
      <c r="A17" s="25" t="s">
        <v>42</v>
      </c>
      <c r="B17" s="26"/>
      <c r="C17" s="13" t="s">
        <v>43</v>
      </c>
      <c r="D17" s="14"/>
      <c r="E17" s="5"/>
      <c r="F17" s="1">
        <f>E17*0.1</f>
        <v>0</v>
      </c>
      <c r="G17" s="1"/>
      <c r="H17" s="1"/>
      <c r="I17" s="1"/>
      <c r="J17" s="1"/>
      <c r="K17" s="1"/>
      <c r="L17" s="5" t="e">
        <f>AVERAGE(G17:K17)*0.2+T17</f>
        <v>#DIV/0!</v>
      </c>
      <c r="M17" s="1"/>
      <c r="N17" s="6">
        <f>M17*0.5</f>
        <v>0</v>
      </c>
      <c r="O17" s="6"/>
      <c r="P17" s="6"/>
      <c r="Q17" s="6"/>
      <c r="R17" s="6"/>
      <c r="S17" s="6"/>
      <c r="T17" s="6">
        <f>(SUM(O17:S17)/5)*0.5</f>
        <v>0</v>
      </c>
      <c r="U17" s="6" t="e">
        <f t="shared" si="0"/>
        <v>#DIV/0!</v>
      </c>
      <c r="V17" s="6" t="e">
        <f>INT(U17*10)/10+IF(MOD(U17*10,1)&gt;=0.5,0.1,0)</f>
        <v>#DIV/0!</v>
      </c>
      <c r="W17" s="1" t="e">
        <f>IF(U17&lt;3,3-U17,"No aplica")</f>
        <v>#DIV/0!</v>
      </c>
    </row>
    <row r="18" spans="1:23">
      <c r="A18" s="25" t="s">
        <v>44</v>
      </c>
      <c r="B18" s="26"/>
      <c r="C18" s="13" t="s">
        <v>45</v>
      </c>
      <c r="D18" s="14"/>
      <c r="E18" s="5"/>
      <c r="F18" s="1">
        <f>E18*0.1</f>
        <v>0</v>
      </c>
      <c r="G18" s="1"/>
      <c r="H18" s="1"/>
      <c r="I18" s="1"/>
      <c r="J18" s="1"/>
      <c r="K18" s="1"/>
      <c r="L18" s="5" t="e">
        <f>AVERAGE(G18:K18)*0.2+T18</f>
        <v>#DIV/0!</v>
      </c>
      <c r="M18" s="1"/>
      <c r="N18" s="6">
        <f>M18*0.5</f>
        <v>0</v>
      </c>
      <c r="O18" s="6"/>
      <c r="P18" s="6"/>
      <c r="Q18" s="6"/>
      <c r="R18" s="6"/>
      <c r="S18" s="6"/>
      <c r="T18" s="6">
        <f>(SUM(O18:S18)/5)*0.5</f>
        <v>0</v>
      </c>
      <c r="U18" s="6" t="e">
        <f t="shared" si="0"/>
        <v>#DIV/0!</v>
      </c>
      <c r="V18" s="6" t="e">
        <f>INT(U18*10)/10+IF(MOD(U18*10,1)&gt;=0.5,0.1,0)</f>
        <v>#DIV/0!</v>
      </c>
      <c r="W18" s="1" t="e">
        <f>IF(U18&lt;3,3-U18,"No aplica")</f>
        <v>#DIV/0!</v>
      </c>
    </row>
    <row r="19" spans="1:23">
      <c r="A19" s="25" t="s">
        <v>46</v>
      </c>
      <c r="B19" s="26"/>
      <c r="C19" s="13" t="s">
        <v>47</v>
      </c>
      <c r="D19" s="14"/>
      <c r="E19" s="5"/>
      <c r="F19" s="1">
        <f>E19*0.1</f>
        <v>0</v>
      </c>
      <c r="G19" s="1"/>
      <c r="H19" s="1"/>
      <c r="I19" s="1"/>
      <c r="J19" s="1"/>
      <c r="K19" s="1"/>
      <c r="L19" s="5" t="e">
        <f>AVERAGE(G19:K19)*0.2+T19</f>
        <v>#DIV/0!</v>
      </c>
      <c r="M19" s="1"/>
      <c r="N19" s="6">
        <f>M19*0.5</f>
        <v>0</v>
      </c>
      <c r="O19" s="6"/>
      <c r="P19" s="6"/>
      <c r="Q19" s="6"/>
      <c r="R19" s="6"/>
      <c r="S19" s="6"/>
      <c r="T19" s="6">
        <f>(SUM(O19:S19)/5)*0.5</f>
        <v>0</v>
      </c>
      <c r="U19" s="6" t="e">
        <f t="shared" si="0"/>
        <v>#DIV/0!</v>
      </c>
      <c r="V19" s="6" t="e">
        <f>INT(U19*10)/10+IF(MOD(U19*10,1)&gt;=0.5,0.1,0)</f>
        <v>#DIV/0!</v>
      </c>
      <c r="W19" s="1" t="e">
        <f>IF(U19&lt;3,3-U19,"No aplica")</f>
        <v>#DIV/0!</v>
      </c>
    </row>
    <row r="20" spans="1:23">
      <c r="A20" s="25" t="s">
        <v>48</v>
      </c>
      <c r="B20" s="26"/>
      <c r="C20" s="13" t="s">
        <v>49</v>
      </c>
      <c r="D20" s="14"/>
      <c r="E20" s="5"/>
      <c r="F20" s="1">
        <f>E20*0.1</f>
        <v>0</v>
      </c>
      <c r="G20" s="1"/>
      <c r="H20" s="1"/>
      <c r="I20" s="1"/>
      <c r="J20" s="1"/>
      <c r="K20" s="1"/>
      <c r="L20" s="5" t="e">
        <f>AVERAGE(G20:K20)*0.2+T20</f>
        <v>#DIV/0!</v>
      </c>
      <c r="M20" s="1"/>
      <c r="N20" s="6">
        <f>M20*0.5</f>
        <v>0</v>
      </c>
      <c r="O20" s="6"/>
      <c r="P20" s="6"/>
      <c r="Q20" s="6"/>
      <c r="R20" s="6"/>
      <c r="S20" s="6"/>
      <c r="T20" s="6">
        <f>(SUM(O20:S20)/5)*0.5</f>
        <v>0</v>
      </c>
      <c r="U20" s="6" t="e">
        <f t="shared" si="0"/>
        <v>#DIV/0!</v>
      </c>
      <c r="V20" s="6" t="e">
        <f>INT(U20*10)/10+IF(MOD(U20*10,1)&gt;=0.5,0.1,0)</f>
        <v>#DIV/0!</v>
      </c>
      <c r="W20" s="1" t="e">
        <f>IF(U20&lt;3,3-U20,"No aplica")</f>
        <v>#DIV/0!</v>
      </c>
    </row>
    <row r="21" spans="1:23">
      <c r="A21" s="25" t="s">
        <v>50</v>
      </c>
      <c r="B21" s="26"/>
      <c r="C21" s="13" t="s">
        <v>51</v>
      </c>
      <c r="D21" s="14"/>
      <c r="E21" s="5"/>
      <c r="F21" s="1">
        <f>E21*0.1</f>
        <v>0</v>
      </c>
      <c r="G21" s="1"/>
      <c r="H21" s="1"/>
      <c r="I21" s="1"/>
      <c r="J21" s="1"/>
      <c r="K21" s="1"/>
      <c r="L21" s="5" t="e">
        <f>AVERAGE(G21:K21)*0.2+T21</f>
        <v>#DIV/0!</v>
      </c>
      <c r="M21" s="1"/>
      <c r="N21" s="6">
        <f>M21*0.5</f>
        <v>0</v>
      </c>
      <c r="O21" s="6"/>
      <c r="P21" s="6"/>
      <c r="Q21" s="6"/>
      <c r="R21" s="6"/>
      <c r="S21" s="6"/>
      <c r="T21" s="6">
        <f>(SUM(O21:S21)/5)*0.5</f>
        <v>0</v>
      </c>
      <c r="U21" s="6" t="e">
        <f t="shared" si="0"/>
        <v>#DIV/0!</v>
      </c>
      <c r="V21" s="6" t="e">
        <f>INT(U21*10)/10+IF(MOD(U21*10,1)&gt;=0.5,0.1,0)</f>
        <v>#DIV/0!</v>
      </c>
      <c r="W21" s="1" t="e">
        <f>IF(U21&lt;3,3-U21,"No aplica")</f>
        <v>#DIV/0!</v>
      </c>
    </row>
    <row r="22" spans="1:23">
      <c r="A22" s="25" t="s">
        <v>52</v>
      </c>
      <c r="B22" s="26"/>
      <c r="C22" s="13" t="s">
        <v>53</v>
      </c>
      <c r="D22" s="14"/>
      <c r="E22" s="5"/>
      <c r="F22" s="1">
        <f>E22*0.1</f>
        <v>0</v>
      </c>
      <c r="G22" s="1"/>
      <c r="H22" s="1"/>
      <c r="I22" s="1"/>
      <c r="J22" s="1"/>
      <c r="K22" s="1"/>
      <c r="L22" s="5" t="e">
        <f>AVERAGE(G22:K22)*0.2+T22</f>
        <v>#DIV/0!</v>
      </c>
      <c r="M22" s="1"/>
      <c r="N22" s="6">
        <f>M22*0.5</f>
        <v>0</v>
      </c>
      <c r="O22" s="6"/>
      <c r="P22" s="6"/>
      <c r="Q22" s="6"/>
      <c r="R22" s="6"/>
      <c r="S22" s="6"/>
      <c r="T22" s="6">
        <f>(SUM(O22:S22)/5)*0.5</f>
        <v>0</v>
      </c>
      <c r="U22" s="6" t="e">
        <f t="shared" si="0"/>
        <v>#DIV/0!</v>
      </c>
      <c r="V22" s="6" t="e">
        <f>INT(U22*10)/10+IF(MOD(U22*10,1)&gt;=0.5,0.1,0)</f>
        <v>#DIV/0!</v>
      </c>
      <c r="W22" s="1" t="e">
        <f>IF(U22&lt;3,3-U22,"No aplica")</f>
        <v>#DIV/0!</v>
      </c>
    </row>
    <row r="23" spans="1:23">
      <c r="A23" s="25" t="s">
        <v>54</v>
      </c>
      <c r="B23" s="26"/>
      <c r="C23" s="13" t="s">
        <v>55</v>
      </c>
      <c r="D23" s="14"/>
      <c r="E23" s="5"/>
      <c r="F23" s="1">
        <f>E23*0.1</f>
        <v>0</v>
      </c>
      <c r="G23" s="1"/>
      <c r="H23" s="1"/>
      <c r="I23" s="1"/>
      <c r="J23" s="1"/>
      <c r="K23" s="1"/>
      <c r="L23" s="5" t="e">
        <f>AVERAGE(G23:K23)*0.2+T23</f>
        <v>#DIV/0!</v>
      </c>
      <c r="M23" s="1"/>
      <c r="N23" s="6">
        <f>M23*0.5</f>
        <v>0</v>
      </c>
      <c r="O23" s="6"/>
      <c r="P23" s="6"/>
      <c r="Q23" s="6"/>
      <c r="R23" s="6"/>
      <c r="S23" s="6"/>
      <c r="T23" s="6">
        <f>(SUM(O23:S23)/5)*0.5</f>
        <v>0</v>
      </c>
      <c r="U23" s="6" t="e">
        <f t="shared" si="0"/>
        <v>#DIV/0!</v>
      </c>
      <c r="V23" s="6" t="e">
        <f>INT(U23*10)/10+IF(MOD(U23*10,1)&gt;=0.5,0.1,0)</f>
        <v>#DIV/0!</v>
      </c>
      <c r="W23" s="1" t="e">
        <f>IF(U23&lt;3,3-U23,"No aplica")</f>
        <v>#DIV/0!</v>
      </c>
    </row>
    <row r="24" spans="1:23">
      <c r="A24" s="25" t="s">
        <v>56</v>
      </c>
      <c r="B24" s="26"/>
      <c r="C24" s="13" t="s">
        <v>57</v>
      </c>
      <c r="D24" s="14"/>
      <c r="E24" s="5"/>
      <c r="F24" s="1">
        <f>E24*0.1</f>
        <v>0</v>
      </c>
      <c r="G24" s="1"/>
      <c r="H24" s="1"/>
      <c r="I24" s="1"/>
      <c r="J24" s="1"/>
      <c r="K24" s="1"/>
      <c r="L24" s="5" t="e">
        <f>AVERAGE(G24:K24)*0.2+T24</f>
        <v>#DIV/0!</v>
      </c>
      <c r="M24" s="1"/>
      <c r="N24" s="6">
        <f>M24*0.5</f>
        <v>0</v>
      </c>
      <c r="O24" s="6"/>
      <c r="P24" s="6"/>
      <c r="Q24" s="6"/>
      <c r="R24" s="6"/>
      <c r="S24" s="6"/>
      <c r="T24" s="6">
        <f>(SUM(O24:S24)/5)*0.5</f>
        <v>0</v>
      </c>
      <c r="U24" s="6" t="e">
        <f t="shared" si="0"/>
        <v>#DIV/0!</v>
      </c>
      <c r="V24" s="6" t="e">
        <f>INT(U24*10)/10+IF(MOD(U24*10,1)&gt;=0.5,0.1,0)</f>
        <v>#DIV/0!</v>
      </c>
      <c r="W24" s="1" t="e">
        <f>IF(U24&lt;3,3-U24,"No aplica")</f>
        <v>#DIV/0!</v>
      </c>
    </row>
    <row r="25" spans="1:23">
      <c r="A25" s="25" t="s">
        <v>58</v>
      </c>
      <c r="B25" s="26"/>
      <c r="C25" s="13" t="s">
        <v>59</v>
      </c>
      <c r="D25" s="14"/>
      <c r="E25" s="5"/>
      <c r="F25" s="1">
        <f>E25*0.1</f>
        <v>0</v>
      </c>
      <c r="G25" s="1"/>
      <c r="H25" s="1"/>
      <c r="I25" s="1"/>
      <c r="J25" s="1"/>
      <c r="K25" s="1"/>
      <c r="L25" s="5" t="e">
        <f>AVERAGE(G25:K25)*0.2+T25</f>
        <v>#DIV/0!</v>
      </c>
      <c r="M25" s="1"/>
      <c r="N25" s="6">
        <f>M25*0.5</f>
        <v>0</v>
      </c>
      <c r="O25" s="6"/>
      <c r="P25" s="6"/>
      <c r="Q25" s="6"/>
      <c r="R25" s="6"/>
      <c r="S25" s="6"/>
      <c r="T25" s="6">
        <f>(SUM(O25:S25)/5)*0.5</f>
        <v>0</v>
      </c>
      <c r="U25" s="6" t="e">
        <f t="shared" si="0"/>
        <v>#DIV/0!</v>
      </c>
      <c r="V25" s="6" t="e">
        <f>INT(U25*10)/10+IF(MOD(U25*10,1)&gt;=0.5,0.1,0)</f>
        <v>#DIV/0!</v>
      </c>
      <c r="W25" s="1" t="e">
        <f>IF(U25&lt;3,3-U25,"No aplica")</f>
        <v>#DIV/0!</v>
      </c>
    </row>
    <row r="26" spans="1:23">
      <c r="A26" s="25" t="s">
        <v>60</v>
      </c>
      <c r="B26" s="26"/>
      <c r="C26" s="13" t="s">
        <v>61</v>
      </c>
      <c r="D26" s="14"/>
      <c r="E26" s="5"/>
      <c r="F26" s="1">
        <f>E26*0.1</f>
        <v>0</v>
      </c>
      <c r="G26" s="1"/>
      <c r="H26" s="1"/>
      <c r="I26" s="1"/>
      <c r="J26" s="1"/>
      <c r="K26" s="1"/>
      <c r="L26" s="5" t="e">
        <f>AVERAGE(G26:K26)*0.2+T26</f>
        <v>#DIV/0!</v>
      </c>
      <c r="M26" s="1"/>
      <c r="N26" s="6">
        <f>M26*0.5</f>
        <v>0</v>
      </c>
      <c r="O26" s="6"/>
      <c r="P26" s="6"/>
      <c r="Q26" s="6"/>
      <c r="R26" s="6"/>
      <c r="S26" s="6"/>
      <c r="T26" s="6">
        <f>(SUM(O26:S26)/5)*0.5</f>
        <v>0</v>
      </c>
      <c r="U26" s="6" t="e">
        <f t="shared" si="0"/>
        <v>#DIV/0!</v>
      </c>
      <c r="V26" s="6" t="e">
        <f>INT(U26*10)/10+IF(MOD(U26*10,1)&gt;=0.5,0.1,0)</f>
        <v>#DIV/0!</v>
      </c>
      <c r="W26" s="1" t="e">
        <f>IF(U26&lt;3,3-U26,"No aplica")</f>
        <v>#DIV/0!</v>
      </c>
    </row>
    <row r="27" spans="1:23">
      <c r="A27" s="25" t="s">
        <v>62</v>
      </c>
      <c r="B27" s="26"/>
      <c r="C27" s="13" t="s">
        <v>63</v>
      </c>
      <c r="D27" s="14"/>
      <c r="E27" s="5"/>
      <c r="F27" s="1">
        <f t="shared" ref="F27" si="1">E27*0.1</f>
        <v>0</v>
      </c>
      <c r="G27" s="1"/>
      <c r="H27" s="1"/>
      <c r="I27" s="1"/>
      <c r="J27" s="1"/>
      <c r="K27" s="1"/>
      <c r="L27" s="5" t="e">
        <f t="shared" ref="L27" si="2">AVERAGE(G27:K27)*0.2+T27</f>
        <v>#DIV/0!</v>
      </c>
      <c r="M27" s="1"/>
      <c r="N27" s="6">
        <f t="shared" ref="N27" si="3">M27*0.5</f>
        <v>0</v>
      </c>
      <c r="O27" s="6"/>
      <c r="P27" s="6"/>
      <c r="Q27" s="6"/>
      <c r="R27" s="6"/>
      <c r="S27" s="6"/>
      <c r="T27" s="6">
        <f t="shared" ref="T27" si="4">(SUM(O27:S27)/5)*0.5</f>
        <v>0</v>
      </c>
      <c r="U27" s="6" t="e">
        <f t="shared" ref="U27" si="5">F27+L27+N27</f>
        <v>#DIV/0!</v>
      </c>
      <c r="V27" s="6" t="e">
        <f t="shared" ref="V27" si="6">INT(U27*10)/10+IF(MOD(U27*10,1)&gt;=0.5,0.1,0)</f>
        <v>#DIV/0!</v>
      </c>
      <c r="W27" s="1" t="e">
        <f t="shared" ref="W27" si="7">IF(U27&lt;3,3-U27,"No aplica")</f>
        <v>#DIV/0!</v>
      </c>
    </row>
    <row r="28" spans="1:23">
      <c r="A28" s="37">
        <v>1001185679</v>
      </c>
      <c r="B28" s="38"/>
      <c r="C28" s="16" t="s">
        <v>64</v>
      </c>
      <c r="D28" s="17"/>
      <c r="E28" s="18"/>
      <c r="F28" s="19">
        <f>E28*0.1</f>
        <v>0</v>
      </c>
      <c r="G28" s="19"/>
      <c r="H28" s="19"/>
      <c r="I28" s="19"/>
      <c r="J28" s="19"/>
      <c r="K28" s="19"/>
      <c r="L28" s="18" t="e">
        <f>AVERAGE(G28:K28)*0.2+T28</f>
        <v>#DIV/0!</v>
      </c>
      <c r="M28" s="19"/>
      <c r="N28" s="20">
        <f>M28*0.5</f>
        <v>0</v>
      </c>
      <c r="O28" s="20"/>
      <c r="P28" s="20"/>
      <c r="Q28" s="20"/>
      <c r="R28" s="20"/>
      <c r="S28" s="20"/>
      <c r="T28" s="20">
        <f>(SUM(O28:S28)/5)*0.5</f>
        <v>0</v>
      </c>
      <c r="U28" s="20" t="e">
        <f>F28+L28+N28</f>
        <v>#DIV/0!</v>
      </c>
      <c r="V28" s="20" t="e">
        <f>INT(U28*10)/10+IF(MOD(U28*10,1)&gt;=0.5,0.1,0)</f>
        <v>#DIV/0!</v>
      </c>
      <c r="W28" s="19" t="e">
        <f>IF(U28&lt;3,3-U28,"No aplica")</f>
        <v>#DIV/0!</v>
      </c>
    </row>
    <row r="29" spans="1:23">
      <c r="A29" s="27">
        <v>1141330236</v>
      </c>
      <c r="B29" s="27"/>
      <c r="C29" s="13" t="s">
        <v>65</v>
      </c>
      <c r="D29" s="15"/>
      <c r="E29" s="1"/>
      <c r="F29" s="1">
        <f>E29*0.1</f>
        <v>0</v>
      </c>
      <c r="G29" s="1"/>
      <c r="H29" s="1"/>
      <c r="I29" s="1"/>
      <c r="J29" s="1"/>
      <c r="K29" s="1"/>
      <c r="L29" s="1" t="e">
        <f>AVERAGE(G29:K29)*0.2+T29</f>
        <v>#DIV/0!</v>
      </c>
      <c r="M29" s="1"/>
      <c r="N29" s="1">
        <f>M29*0.5</f>
        <v>0</v>
      </c>
      <c r="O29" s="1"/>
      <c r="P29" s="1"/>
      <c r="Q29" s="1"/>
      <c r="R29" s="1"/>
      <c r="S29" s="1"/>
      <c r="T29" s="1">
        <f>(SUM(O29:S29)/5)*0.5</f>
        <v>0</v>
      </c>
      <c r="U29" s="1" t="e">
        <f>F29+L29+N29</f>
        <v>#DIV/0!</v>
      </c>
      <c r="V29" s="1" t="e">
        <f>INT(U29*10)/10+IF(MOD(U29*10,1)&gt;=0.5,0.1,0)</f>
        <v>#DIV/0!</v>
      </c>
      <c r="W29" s="1" t="e">
        <f>IF(U29&lt;3,3-U29,"No aplica")</f>
        <v>#DIV/0!</v>
      </c>
    </row>
  </sheetData>
  <autoFilter ref="A7:W7" xr:uid="{00000000-0001-0000-0000-000000000000}">
    <filterColumn colId="0" showButton="0"/>
    <filterColumn colId="2" showButton="0"/>
    <sortState xmlns:xlrd2="http://schemas.microsoft.com/office/spreadsheetml/2017/richdata2" ref="A8:W30">
      <sortCondition ref="C7"/>
    </sortState>
  </autoFilter>
  <mergeCells count="35">
    <mergeCell ref="O6:S6"/>
    <mergeCell ref="A7:B7"/>
    <mergeCell ref="C7:D7"/>
    <mergeCell ref="G6:K6"/>
    <mergeCell ref="C1:I1"/>
    <mergeCell ref="C2:I2"/>
    <mergeCell ref="C4:I4"/>
    <mergeCell ref="C3:I3"/>
    <mergeCell ref="A3:B3"/>
    <mergeCell ref="A1:B1"/>
    <mergeCell ref="A2:B2"/>
    <mergeCell ref="A4:B4"/>
    <mergeCell ref="A6:D6"/>
    <mergeCell ref="A8:B8"/>
    <mergeCell ref="A28:B2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9:B29"/>
    <mergeCell ref="A27:B27"/>
    <mergeCell ref="A22:B22"/>
    <mergeCell ref="A23:B23"/>
    <mergeCell ref="A24:B24"/>
    <mergeCell ref="A25:B25"/>
    <mergeCell ref="A26:B26"/>
  </mergeCells>
  <conditionalFormatting sqref="E8:E29">
    <cfRule type="expression" dxfId="13" priority="15">
      <formula>E8&lt;3</formula>
    </cfRule>
    <cfRule type="expression" dxfId="12" priority="16">
      <formula>E8&gt;=3</formula>
    </cfRule>
  </conditionalFormatting>
  <conditionalFormatting sqref="G8:K29 M8:M29 U8:U29">
    <cfRule type="expression" dxfId="11" priority="23">
      <formula>G8&gt;=3</formula>
    </cfRule>
    <cfRule type="expression" dxfId="10" priority="24">
      <formula>G8&lt;3</formula>
    </cfRule>
  </conditionalFormatting>
  <conditionalFormatting sqref="O8:S29">
    <cfRule type="cellIs" dxfId="9" priority="17" operator="greaterThan">
      <formula>0</formula>
    </cfRule>
    <cfRule type="containsBlanks" dxfId="8" priority="18">
      <formula>LEN(TRIM(O8))=0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7A39-371B-4F52-A112-ED3EECAB9F9E}">
  <dimension ref="A1:O29"/>
  <sheetViews>
    <sheetView tabSelected="1" workbookViewId="0">
      <pane xSplit="4" topLeftCell="E2" activePane="topRight" state="frozen"/>
      <selection pane="topRight" activeCell="H34" sqref="H34"/>
    </sheetView>
  </sheetViews>
  <sheetFormatPr defaultRowHeight="15"/>
  <cols>
    <col min="3" max="3" width="15.28515625" customWidth="1"/>
    <col min="4" max="4" width="21.42578125" customWidth="1"/>
    <col min="7" max="8" width="11.5703125" customWidth="1"/>
    <col min="9" max="9" width="13.140625" customWidth="1"/>
    <col min="14" max="14" width="13.28515625" bestFit="1" customWidth="1"/>
    <col min="15" max="15" width="19.28515625" customWidth="1"/>
  </cols>
  <sheetData>
    <row r="1" spans="1:15">
      <c r="A1" s="28" t="s">
        <v>0</v>
      </c>
      <c r="B1" s="28"/>
      <c r="C1" s="29" t="s">
        <v>1</v>
      </c>
      <c r="D1" s="29"/>
      <c r="E1" s="29"/>
      <c r="F1" s="29"/>
      <c r="G1" s="29"/>
      <c r="H1" s="29"/>
      <c r="I1" s="29"/>
    </row>
    <row r="2" spans="1:15">
      <c r="A2" s="28" t="s">
        <v>2</v>
      </c>
      <c r="B2" s="28"/>
      <c r="C2" s="29" t="s">
        <v>3</v>
      </c>
      <c r="D2" s="29"/>
      <c r="E2" s="29"/>
      <c r="F2" s="29"/>
      <c r="G2" s="29"/>
      <c r="H2" s="29"/>
      <c r="I2" s="29"/>
    </row>
    <row r="3" spans="1:15">
      <c r="A3" s="32" t="s">
        <v>4</v>
      </c>
      <c r="B3" s="33"/>
      <c r="C3" s="34" t="s">
        <v>5</v>
      </c>
      <c r="D3" s="35"/>
      <c r="E3" s="35"/>
      <c r="F3" s="35"/>
      <c r="G3" s="35"/>
      <c r="H3" s="35"/>
      <c r="I3" s="36"/>
      <c r="L3" s="12"/>
    </row>
    <row r="4" spans="1:15">
      <c r="A4" s="28" t="s">
        <v>6</v>
      </c>
      <c r="B4" s="28"/>
      <c r="C4" s="29" t="s">
        <v>7</v>
      </c>
      <c r="D4" s="29"/>
      <c r="E4" s="29"/>
      <c r="F4" s="29"/>
      <c r="G4" s="29"/>
      <c r="H4" s="29"/>
      <c r="I4" s="29"/>
    </row>
    <row r="6" spans="1:15">
      <c r="A6" s="30" t="s">
        <v>8</v>
      </c>
      <c r="B6" s="30"/>
      <c r="C6" s="30"/>
      <c r="D6" s="30"/>
      <c r="E6" s="2" t="s">
        <v>9</v>
      </c>
      <c r="F6" s="4">
        <v>0.2</v>
      </c>
      <c r="G6" s="30" t="s">
        <v>10</v>
      </c>
      <c r="H6" s="30"/>
      <c r="I6" s="30"/>
      <c r="J6" s="22">
        <v>0.3</v>
      </c>
      <c r="K6" s="21" t="s">
        <v>11</v>
      </c>
      <c r="L6" s="4">
        <v>0.5</v>
      </c>
      <c r="M6" s="7" t="s">
        <v>14</v>
      </c>
      <c r="N6" s="7" t="s">
        <v>15</v>
      </c>
      <c r="O6" s="2" t="s">
        <v>16</v>
      </c>
    </row>
    <row r="7" spans="1:15">
      <c r="A7" s="31" t="s">
        <v>17</v>
      </c>
      <c r="B7" s="31"/>
      <c r="C7" s="31" t="s">
        <v>18</v>
      </c>
      <c r="D7" s="31"/>
      <c r="E7" s="8" t="s">
        <v>19</v>
      </c>
      <c r="F7" s="8"/>
      <c r="G7" s="23" t="s">
        <v>66</v>
      </c>
      <c r="H7" s="23" t="s">
        <v>67</v>
      </c>
      <c r="I7" s="23" t="s">
        <v>68</v>
      </c>
      <c r="J7" s="24"/>
      <c r="K7" s="8" t="s">
        <v>11</v>
      </c>
      <c r="L7" s="10"/>
      <c r="M7" s="10"/>
      <c r="N7" s="10"/>
      <c r="O7" s="8"/>
    </row>
    <row r="8" spans="1:15">
      <c r="A8" s="25" t="s">
        <v>24</v>
      </c>
      <c r="B8" s="26"/>
      <c r="C8" s="13" t="s">
        <v>25</v>
      </c>
      <c r="D8" s="14"/>
      <c r="E8" s="5">
        <v>5</v>
      </c>
      <c r="F8" s="1">
        <f>E8*0.2</f>
        <v>1</v>
      </c>
      <c r="G8" s="1">
        <v>5</v>
      </c>
      <c r="H8" s="1">
        <v>4.9000000000000004</v>
      </c>
      <c r="I8" s="1">
        <v>0</v>
      </c>
      <c r="J8" s="5">
        <f>AVERAGE(G8:I8)*0.3</f>
        <v>0.99</v>
      </c>
      <c r="K8" s="1">
        <v>2.75</v>
      </c>
      <c r="L8" s="6">
        <f>K8*0.5</f>
        <v>1.375</v>
      </c>
      <c r="M8" s="6">
        <f>F8+J8+L8</f>
        <v>3.3650000000000002</v>
      </c>
      <c r="N8" s="6">
        <f>INT(M8*10)/10+IF(MOD(M8*10,1)&gt;=0.5,0.1,0)</f>
        <v>3.4</v>
      </c>
      <c r="O8" s="1" t="str">
        <f>IF(M8&lt;3,3-M8,"No aplica")</f>
        <v>No aplica</v>
      </c>
    </row>
    <row r="9" spans="1:15">
      <c r="A9" s="25" t="s">
        <v>62</v>
      </c>
      <c r="B9" s="26"/>
      <c r="C9" s="13" t="s">
        <v>63</v>
      </c>
      <c r="D9" s="14"/>
      <c r="E9" s="5">
        <v>0</v>
      </c>
      <c r="F9" s="1">
        <f t="shared" ref="F9:F29" si="0">E9*0.2</f>
        <v>0</v>
      </c>
      <c r="G9" s="1">
        <v>5</v>
      </c>
      <c r="H9" s="1">
        <v>0</v>
      </c>
      <c r="I9" s="1">
        <v>0</v>
      </c>
      <c r="J9" s="5">
        <f>AVERAGE(G9:I9)*0.3</f>
        <v>0.5</v>
      </c>
      <c r="K9" s="1">
        <v>0</v>
      </c>
      <c r="L9" s="6">
        <f>K9*0.5</f>
        <v>0</v>
      </c>
      <c r="M9" s="6">
        <f>F9+J9+L9</f>
        <v>0.5</v>
      </c>
      <c r="N9" s="6">
        <f>INT(M9*10)/10+IF(MOD(M9*10,1)&gt;=0.5,0.1,0)</f>
        <v>0.5</v>
      </c>
      <c r="O9" s="1">
        <f>IF(M9&lt;3,3-M9,"No aplica")</f>
        <v>2.5</v>
      </c>
    </row>
    <row r="10" spans="1:15">
      <c r="A10" s="25" t="s">
        <v>26</v>
      </c>
      <c r="B10" s="26"/>
      <c r="C10" s="13" t="s">
        <v>27</v>
      </c>
      <c r="D10" s="14"/>
      <c r="E10" s="5">
        <v>3</v>
      </c>
      <c r="F10" s="1">
        <f t="shared" si="0"/>
        <v>0.60000000000000009</v>
      </c>
      <c r="G10" s="1">
        <v>4.8</v>
      </c>
      <c r="H10" s="1">
        <v>5</v>
      </c>
      <c r="I10" s="1">
        <v>4</v>
      </c>
      <c r="J10" s="5">
        <f>AVERAGE(G10:I10)*0.3</f>
        <v>1.3800000000000001</v>
      </c>
      <c r="K10" s="1">
        <v>4.2</v>
      </c>
      <c r="L10" s="6">
        <f>K10*0.5</f>
        <v>2.1</v>
      </c>
      <c r="M10" s="6">
        <f>F10+J10+L10</f>
        <v>4.08</v>
      </c>
      <c r="N10" s="6">
        <f>INT(M10*10)/10+IF(MOD(M10*10,1)&gt;=0.5,0.1,0)</f>
        <v>4.0999999999999996</v>
      </c>
      <c r="O10" s="1" t="str">
        <f>IF(M10&lt;3,3-M10,"No aplica")</f>
        <v>No aplica</v>
      </c>
    </row>
    <row r="11" spans="1:15">
      <c r="A11" s="25" t="s">
        <v>28</v>
      </c>
      <c r="B11" s="26"/>
      <c r="C11" s="13" t="s">
        <v>29</v>
      </c>
      <c r="D11" s="14"/>
      <c r="E11" s="5">
        <v>1.8</v>
      </c>
      <c r="F11" s="1">
        <f t="shared" si="0"/>
        <v>0.36000000000000004</v>
      </c>
      <c r="G11" s="1">
        <v>5</v>
      </c>
      <c r="H11" s="1">
        <v>5</v>
      </c>
      <c r="I11" s="1">
        <v>0</v>
      </c>
      <c r="J11" s="5">
        <f>AVERAGE(G11:I11)*0.3</f>
        <v>1</v>
      </c>
      <c r="K11" s="1">
        <v>1.5</v>
      </c>
      <c r="L11" s="6">
        <f>K11*0.5</f>
        <v>0.75</v>
      </c>
      <c r="M11" s="6">
        <f>F11+J11+L11</f>
        <v>2.1100000000000003</v>
      </c>
      <c r="N11" s="6">
        <f>INT(M11*10)/10+IF(MOD(M11*10,1)&gt;=0.5,0.1,0)</f>
        <v>2.1</v>
      </c>
      <c r="O11" s="1">
        <f>IF(M11&lt;3,3-M11,"No aplica")</f>
        <v>0.88999999999999968</v>
      </c>
    </row>
    <row r="12" spans="1:15">
      <c r="A12" s="25" t="s">
        <v>30</v>
      </c>
      <c r="B12" s="26"/>
      <c r="C12" s="13" t="s">
        <v>31</v>
      </c>
      <c r="D12" s="14"/>
      <c r="E12" s="5">
        <v>0.5</v>
      </c>
      <c r="F12" s="1">
        <f t="shared" si="0"/>
        <v>0.1</v>
      </c>
      <c r="G12" s="1">
        <v>5</v>
      </c>
      <c r="H12" s="1">
        <v>5</v>
      </c>
      <c r="I12" s="1">
        <v>5</v>
      </c>
      <c r="J12" s="5">
        <f>AVERAGE(G12:I12)*0.3</f>
        <v>1.5</v>
      </c>
      <c r="K12" s="1">
        <v>4.8</v>
      </c>
      <c r="L12" s="6">
        <f>K12*0.5</f>
        <v>2.4</v>
      </c>
      <c r="M12" s="6">
        <f>F12+J12+L12</f>
        <v>4</v>
      </c>
      <c r="N12" s="6">
        <f>INT(M12*10)/10+IF(MOD(M12*10,1)&gt;=0.5,0.1,0)</f>
        <v>4</v>
      </c>
      <c r="O12" s="1" t="str">
        <f>IF(M12&lt;3,3-M12,"No aplica")</f>
        <v>No aplica</v>
      </c>
    </row>
    <row r="13" spans="1:15">
      <c r="A13" s="25" t="s">
        <v>32</v>
      </c>
      <c r="B13" s="26"/>
      <c r="C13" s="13" t="s">
        <v>33</v>
      </c>
      <c r="D13" s="14"/>
      <c r="E13" s="5">
        <v>1.8</v>
      </c>
      <c r="F13" s="1">
        <f t="shared" si="0"/>
        <v>0.36000000000000004</v>
      </c>
      <c r="G13" s="1">
        <v>5</v>
      </c>
      <c r="H13" s="1">
        <v>5</v>
      </c>
      <c r="I13" s="1">
        <v>4.5</v>
      </c>
      <c r="J13" s="5">
        <f>AVERAGE(G13:I13)*0.3</f>
        <v>1.45</v>
      </c>
      <c r="K13" s="1">
        <v>4.4000000000000004</v>
      </c>
      <c r="L13" s="6">
        <f>K13*0.5</f>
        <v>2.2000000000000002</v>
      </c>
      <c r="M13" s="6">
        <f>F13+J13+L13</f>
        <v>4.01</v>
      </c>
      <c r="N13" s="6">
        <f>INT(M13*10)/10+IF(MOD(M13*10,1)&gt;=0.5,0.1,0)</f>
        <v>4</v>
      </c>
      <c r="O13" s="1" t="str">
        <f>IF(M13&lt;3,3-M13,"No aplica")</f>
        <v>No aplica</v>
      </c>
    </row>
    <row r="14" spans="1:15">
      <c r="A14" s="25">
        <v>1001185679</v>
      </c>
      <c r="B14" s="26"/>
      <c r="C14" s="13" t="s">
        <v>64</v>
      </c>
      <c r="D14" s="14"/>
      <c r="E14" s="5">
        <v>3.5</v>
      </c>
      <c r="F14" s="1">
        <f t="shared" si="0"/>
        <v>0.70000000000000007</v>
      </c>
      <c r="G14" s="1">
        <v>5</v>
      </c>
      <c r="H14" s="1">
        <v>5</v>
      </c>
      <c r="I14" s="1">
        <v>5</v>
      </c>
      <c r="J14" s="5">
        <f>AVERAGE(G14:I14)*0.3</f>
        <v>1.5</v>
      </c>
      <c r="K14" s="1">
        <v>4.5999999999999996</v>
      </c>
      <c r="L14" s="6">
        <f>K14*0.5</f>
        <v>2.2999999999999998</v>
      </c>
      <c r="M14" s="6">
        <f>F14+J14+L14</f>
        <v>4.5</v>
      </c>
      <c r="N14" s="6">
        <f>INT(M14*10)/10+IF(MOD(M14*10,1)&gt;=0.5,0.1,0)</f>
        <v>4.5</v>
      </c>
      <c r="O14" s="1" t="str">
        <f>IF(M14&lt;3,3-M14,"No aplica")</f>
        <v>No aplica</v>
      </c>
    </row>
    <row r="15" spans="1:15">
      <c r="A15" s="25" t="s">
        <v>34</v>
      </c>
      <c r="B15" s="26"/>
      <c r="C15" s="13" t="s">
        <v>35</v>
      </c>
      <c r="D15" s="14"/>
      <c r="E15" s="5">
        <v>1</v>
      </c>
      <c r="F15" s="1">
        <f t="shared" si="0"/>
        <v>0.2</v>
      </c>
      <c r="G15" s="1">
        <v>0</v>
      </c>
      <c r="H15" s="1">
        <v>1.5</v>
      </c>
      <c r="I15" s="1">
        <v>1.5</v>
      </c>
      <c r="J15" s="5">
        <f>AVERAGE(G15:I15)*0.3</f>
        <v>0.3</v>
      </c>
      <c r="K15" s="1">
        <v>1</v>
      </c>
      <c r="L15" s="6">
        <f>K15*0.5</f>
        <v>0.5</v>
      </c>
      <c r="M15" s="6">
        <f>F15+J15+L15</f>
        <v>1</v>
      </c>
      <c r="N15" s="6">
        <f>INT(M15*10)/10+IF(MOD(M15*10,1)&gt;=0.5,0.1,0)</f>
        <v>1</v>
      </c>
      <c r="O15" s="1">
        <f>IF(M15&lt;3,3-M15,"No aplica")</f>
        <v>2</v>
      </c>
    </row>
    <row r="16" spans="1:15">
      <c r="A16" s="25" t="s">
        <v>36</v>
      </c>
      <c r="B16" s="26"/>
      <c r="C16" s="13" t="s">
        <v>37</v>
      </c>
      <c r="D16" s="14"/>
      <c r="E16" s="5">
        <v>5.3</v>
      </c>
      <c r="F16" s="1">
        <f t="shared" si="0"/>
        <v>1.06</v>
      </c>
      <c r="G16" s="1">
        <v>4.8</v>
      </c>
      <c r="H16" s="1">
        <v>5</v>
      </c>
      <c r="I16" s="1">
        <v>5</v>
      </c>
      <c r="J16" s="5">
        <f>AVERAGE(G16:I16)*0.3</f>
        <v>1.48</v>
      </c>
      <c r="K16" s="1">
        <v>5</v>
      </c>
      <c r="L16" s="6">
        <f>K16*0.5</f>
        <v>2.5</v>
      </c>
      <c r="M16" s="6">
        <f>F16+J16+L16</f>
        <v>5.04</v>
      </c>
      <c r="N16" s="6">
        <f>INT(M16*10)/10+IF(MOD(M16*10,1)&gt;=0.5,0.1,0)</f>
        <v>5</v>
      </c>
      <c r="O16" s="1" t="str">
        <f>IF(M16&lt;3,3-M16,"No aplica")</f>
        <v>No aplica</v>
      </c>
    </row>
    <row r="17" spans="1:15">
      <c r="A17" s="25" t="s">
        <v>38</v>
      </c>
      <c r="B17" s="26"/>
      <c r="C17" s="13" t="s">
        <v>39</v>
      </c>
      <c r="D17" s="14"/>
      <c r="E17" s="5">
        <v>5</v>
      </c>
      <c r="F17" s="1">
        <f t="shared" si="0"/>
        <v>1</v>
      </c>
      <c r="G17" s="1">
        <v>4.8</v>
      </c>
      <c r="H17" s="1">
        <v>5</v>
      </c>
      <c r="I17" s="1">
        <v>4.5</v>
      </c>
      <c r="J17" s="5">
        <f>AVERAGE(G17:I17)*0.3</f>
        <v>1.43</v>
      </c>
      <c r="K17" s="1">
        <v>4.9000000000000004</v>
      </c>
      <c r="L17" s="6">
        <f>K17*0.5</f>
        <v>2.4500000000000002</v>
      </c>
      <c r="M17" s="6">
        <f>F17+J17+L17</f>
        <v>4.88</v>
      </c>
      <c r="N17" s="6">
        <f>INT(M17*10)/10+IF(MOD(M17*10,1)&gt;=0.5,0.1,0)</f>
        <v>4.8999999999999995</v>
      </c>
      <c r="O17" s="1" t="str">
        <f>IF(M17&lt;3,3-M17,"No aplica")</f>
        <v>No aplica</v>
      </c>
    </row>
    <row r="18" spans="1:15">
      <c r="A18" s="25">
        <v>1141330236</v>
      </c>
      <c r="B18" s="26"/>
      <c r="C18" s="13" t="s">
        <v>65</v>
      </c>
      <c r="D18" s="15"/>
      <c r="E18" s="5">
        <v>0</v>
      </c>
      <c r="F18" s="1">
        <f t="shared" si="0"/>
        <v>0</v>
      </c>
      <c r="G18" s="1">
        <v>5</v>
      </c>
      <c r="H18" s="1">
        <v>5</v>
      </c>
      <c r="I18" s="1">
        <v>5</v>
      </c>
      <c r="J18" s="5">
        <f>AVERAGE(G18:I18)*0.3</f>
        <v>1.5</v>
      </c>
      <c r="K18" s="1">
        <v>3.1</v>
      </c>
      <c r="L18" s="6">
        <f>K18*0.5</f>
        <v>1.55</v>
      </c>
      <c r="M18" s="6">
        <f>F18+J18+L18</f>
        <v>3.05</v>
      </c>
      <c r="N18" s="6">
        <f>INT(M18*10)/10+IF(MOD(M18*10,1)&gt;=0.5,0.1,0)</f>
        <v>3.1</v>
      </c>
      <c r="O18" s="1" t="str">
        <f>IF(M18&lt;3,3-M18,"No aplica")</f>
        <v>No aplica</v>
      </c>
    </row>
    <row r="19" spans="1:15">
      <c r="A19" s="25" t="s">
        <v>40</v>
      </c>
      <c r="B19" s="26"/>
      <c r="C19" s="13" t="s">
        <v>41</v>
      </c>
      <c r="D19" s="14"/>
      <c r="E19" s="5">
        <v>1.2</v>
      </c>
      <c r="F19" s="1">
        <f t="shared" si="0"/>
        <v>0.24</v>
      </c>
      <c r="G19" s="1">
        <v>5</v>
      </c>
      <c r="H19" s="1">
        <v>5</v>
      </c>
      <c r="I19" s="1">
        <v>5</v>
      </c>
      <c r="J19" s="5">
        <f>AVERAGE(G19:I19)*0.3</f>
        <v>1.5</v>
      </c>
      <c r="K19" s="1">
        <v>4.9000000000000004</v>
      </c>
      <c r="L19" s="6">
        <f>K19*0.5</f>
        <v>2.4500000000000002</v>
      </c>
      <c r="M19" s="6">
        <f>F19+J19+L19</f>
        <v>4.1900000000000004</v>
      </c>
      <c r="N19" s="6">
        <f>INT(M19*10)/10+IF(MOD(M19*10,1)&gt;=0.5,0.1,0)</f>
        <v>4.1999999999999993</v>
      </c>
      <c r="O19" s="1" t="str">
        <f>IF(M19&lt;3,3-M19,"No aplica")</f>
        <v>No aplica</v>
      </c>
    </row>
    <row r="20" spans="1:15">
      <c r="A20" s="25" t="s">
        <v>42</v>
      </c>
      <c r="B20" s="26"/>
      <c r="C20" s="13" t="s">
        <v>43</v>
      </c>
      <c r="D20" s="14"/>
      <c r="E20" s="5">
        <v>2.7</v>
      </c>
      <c r="F20" s="1">
        <f t="shared" si="0"/>
        <v>0.54</v>
      </c>
      <c r="G20" s="1">
        <v>4.5</v>
      </c>
      <c r="H20" s="1">
        <v>5</v>
      </c>
      <c r="I20" s="1">
        <v>4.0999999999999996</v>
      </c>
      <c r="J20" s="5">
        <f>AVERAGE(G20:I20)*0.3</f>
        <v>1.3599999999999999</v>
      </c>
      <c r="K20" s="1">
        <v>4.5</v>
      </c>
      <c r="L20" s="6">
        <f>K20*0.5</f>
        <v>2.25</v>
      </c>
      <c r="M20" s="6">
        <f>F20+J20+L20</f>
        <v>4.1500000000000004</v>
      </c>
      <c r="N20" s="6">
        <f>INT(M20*10)/10+IF(MOD(M20*10,1)&gt;=0.5,0.1,0)</f>
        <v>4.1999999999999993</v>
      </c>
      <c r="O20" s="1" t="str">
        <f>IF(M20&lt;3,3-M20,"No aplica")</f>
        <v>No aplica</v>
      </c>
    </row>
    <row r="21" spans="1:15">
      <c r="A21" s="25" t="s">
        <v>44</v>
      </c>
      <c r="B21" s="26"/>
      <c r="C21" s="13" t="s">
        <v>45</v>
      </c>
      <c r="D21" s="14"/>
      <c r="E21" s="5">
        <v>5</v>
      </c>
      <c r="F21" s="1">
        <f t="shared" si="0"/>
        <v>1</v>
      </c>
      <c r="G21" s="1">
        <v>4.5999999999999996</v>
      </c>
      <c r="H21" s="1">
        <v>5</v>
      </c>
      <c r="I21" s="1">
        <v>4.5</v>
      </c>
      <c r="J21" s="5">
        <f>AVERAGE(G21:I21)*0.3</f>
        <v>1.41</v>
      </c>
      <c r="K21" s="1">
        <v>4.8</v>
      </c>
      <c r="L21" s="6">
        <f>K21*0.5</f>
        <v>2.4</v>
      </c>
      <c r="M21" s="6">
        <f>F21+J21+L21</f>
        <v>4.8100000000000005</v>
      </c>
      <c r="N21" s="6">
        <f>INT(M21*10)/10+IF(MOD(M21*10,1)&gt;=0.5,0.1,0)</f>
        <v>4.8</v>
      </c>
      <c r="O21" s="1" t="str">
        <f>IF(M21&lt;3,3-M21,"No aplica")</f>
        <v>No aplica</v>
      </c>
    </row>
    <row r="22" spans="1:15">
      <c r="A22" s="25" t="s">
        <v>46</v>
      </c>
      <c r="B22" s="26"/>
      <c r="C22" s="13" t="s">
        <v>47</v>
      </c>
      <c r="D22" s="14"/>
      <c r="E22" s="5">
        <v>1.1000000000000001</v>
      </c>
      <c r="F22" s="1">
        <f t="shared" si="0"/>
        <v>0.22000000000000003</v>
      </c>
      <c r="G22" s="1">
        <v>4.8</v>
      </c>
      <c r="H22" s="1">
        <v>5</v>
      </c>
      <c r="I22" s="1">
        <v>5</v>
      </c>
      <c r="J22" s="5">
        <f>AVERAGE(G22:I22)*0.3</f>
        <v>1.48</v>
      </c>
      <c r="K22" s="1">
        <v>5</v>
      </c>
      <c r="L22" s="6">
        <f>K22*0.5</f>
        <v>2.5</v>
      </c>
      <c r="M22" s="6">
        <f>F22+J22+L22</f>
        <v>4.2</v>
      </c>
      <c r="N22" s="6">
        <f>INT(M22*10)/10+IF(MOD(M22*10,1)&gt;=0.5,0.1,0)</f>
        <v>4.2</v>
      </c>
      <c r="O22" s="1" t="str">
        <f>IF(M22&lt;3,3-M22,"No aplica")</f>
        <v>No aplica</v>
      </c>
    </row>
    <row r="23" spans="1:15">
      <c r="A23" s="25" t="s">
        <v>48</v>
      </c>
      <c r="B23" s="26"/>
      <c r="C23" s="13" t="s">
        <v>49</v>
      </c>
      <c r="D23" s="14"/>
      <c r="E23" s="5">
        <v>1</v>
      </c>
      <c r="F23" s="1">
        <f t="shared" si="0"/>
        <v>0.2</v>
      </c>
      <c r="G23" s="1">
        <v>4.5</v>
      </c>
      <c r="H23" s="1">
        <v>5</v>
      </c>
      <c r="I23" s="1">
        <v>5</v>
      </c>
      <c r="J23" s="5">
        <f>AVERAGE(G23:I23)*0.3</f>
        <v>1.45</v>
      </c>
      <c r="K23" s="1">
        <v>1</v>
      </c>
      <c r="L23" s="6">
        <f>K23*0.5</f>
        <v>0.5</v>
      </c>
      <c r="M23" s="6">
        <f>F23+J23+L23</f>
        <v>2.15</v>
      </c>
      <c r="N23" s="6">
        <f>INT(M23*10)/10+IF(MOD(M23*10,1)&gt;=0.5,0.1,0)</f>
        <v>2.2000000000000002</v>
      </c>
      <c r="O23" s="1">
        <f>IF(M23&lt;3,3-M23,"No aplica")</f>
        <v>0.85000000000000009</v>
      </c>
    </row>
    <row r="24" spans="1:15">
      <c r="A24" s="25" t="s">
        <v>50</v>
      </c>
      <c r="B24" s="26"/>
      <c r="C24" s="13" t="s">
        <v>51</v>
      </c>
      <c r="D24" s="14"/>
      <c r="E24" s="5">
        <v>0.6</v>
      </c>
      <c r="F24" s="1">
        <f t="shared" si="0"/>
        <v>0.12</v>
      </c>
      <c r="G24" s="1">
        <v>5</v>
      </c>
      <c r="H24" s="1">
        <v>4.8</v>
      </c>
      <c r="I24" s="1">
        <v>5</v>
      </c>
      <c r="J24" s="5">
        <f>AVERAGE(G24:I24)*0.3</f>
        <v>1.48</v>
      </c>
      <c r="K24" s="1">
        <v>4.5999999999999996</v>
      </c>
      <c r="L24" s="6">
        <f>K24*0.5</f>
        <v>2.2999999999999998</v>
      </c>
      <c r="M24" s="6">
        <f>F24+J24+L24</f>
        <v>3.9</v>
      </c>
      <c r="N24" s="6">
        <f>INT(M24*10)/10+IF(MOD(M24*10,1)&gt;=0.5,0.1,0)</f>
        <v>3.9</v>
      </c>
      <c r="O24" s="1" t="str">
        <f>IF(M24&lt;3,3-M24,"No aplica")</f>
        <v>No aplica</v>
      </c>
    </row>
    <row r="25" spans="1:15">
      <c r="A25" s="25" t="s">
        <v>52</v>
      </c>
      <c r="B25" s="26"/>
      <c r="C25" s="13" t="s">
        <v>53</v>
      </c>
      <c r="D25" s="14"/>
      <c r="E25" s="5">
        <v>5</v>
      </c>
      <c r="F25" s="1">
        <f t="shared" si="0"/>
        <v>1</v>
      </c>
      <c r="G25" s="1">
        <v>4.8</v>
      </c>
      <c r="H25" s="1">
        <v>5</v>
      </c>
      <c r="I25" s="1">
        <v>4.5</v>
      </c>
      <c r="J25" s="5">
        <f>AVERAGE(G25:I25)*0.3</f>
        <v>1.43</v>
      </c>
      <c r="K25" s="1">
        <v>5</v>
      </c>
      <c r="L25" s="6">
        <f>K25*0.5</f>
        <v>2.5</v>
      </c>
      <c r="M25" s="6">
        <f>F25+J25+L25</f>
        <v>4.93</v>
      </c>
      <c r="N25" s="6">
        <f>INT(M25*10)/10+IF(MOD(M25*10,1)&gt;=0.5,0.1,0)</f>
        <v>4.9000000000000004</v>
      </c>
      <c r="O25" s="1" t="str">
        <f>IF(M25&lt;3,3-M25,"No aplica")</f>
        <v>No aplica</v>
      </c>
    </row>
    <row r="26" spans="1:15">
      <c r="A26" s="25" t="s">
        <v>54</v>
      </c>
      <c r="B26" s="26"/>
      <c r="C26" s="13" t="s">
        <v>55</v>
      </c>
      <c r="D26" s="14"/>
      <c r="E26" s="5">
        <v>3.5</v>
      </c>
      <c r="F26" s="1">
        <f t="shared" si="0"/>
        <v>0.70000000000000007</v>
      </c>
      <c r="G26" s="1">
        <v>4.5999999999999996</v>
      </c>
      <c r="H26" s="1">
        <v>5</v>
      </c>
      <c r="I26" s="1">
        <v>5</v>
      </c>
      <c r="J26" s="5">
        <f>AVERAGE(G26:I26)*0.3</f>
        <v>1.4599999999999997</v>
      </c>
      <c r="K26" s="1">
        <v>4.7</v>
      </c>
      <c r="L26" s="6">
        <f>K26*0.5</f>
        <v>2.35</v>
      </c>
      <c r="M26" s="6">
        <f>F26+J26+L26</f>
        <v>4.51</v>
      </c>
      <c r="N26" s="6">
        <f>INT(M26*10)/10+IF(MOD(M26*10,1)&gt;=0.5,0.1,0)</f>
        <v>4.5</v>
      </c>
      <c r="O26" s="1" t="str">
        <f>IF(M26&lt;3,3-M26,"No aplica")</f>
        <v>No aplica</v>
      </c>
    </row>
    <row r="27" spans="1:15">
      <c r="A27" s="25" t="s">
        <v>56</v>
      </c>
      <c r="B27" s="26"/>
      <c r="C27" s="13" t="s">
        <v>57</v>
      </c>
      <c r="D27" s="14"/>
      <c r="E27" s="5">
        <v>5</v>
      </c>
      <c r="F27" s="1">
        <f t="shared" si="0"/>
        <v>1</v>
      </c>
      <c r="G27" s="1">
        <v>4.8</v>
      </c>
      <c r="H27" s="1">
        <v>5</v>
      </c>
      <c r="I27" s="1">
        <v>5</v>
      </c>
      <c r="J27" s="5">
        <f>AVERAGE(G27:I27)*0.3</f>
        <v>1.48</v>
      </c>
      <c r="K27" s="1">
        <v>4.9000000000000004</v>
      </c>
      <c r="L27" s="6">
        <f>K27*0.5</f>
        <v>2.4500000000000002</v>
      </c>
      <c r="M27" s="6">
        <f>F27+J27+L27</f>
        <v>4.93</v>
      </c>
      <c r="N27" s="6">
        <f>INT(M27*10)/10+IF(MOD(M27*10,1)&gt;=0.5,0.1,0)</f>
        <v>4.9000000000000004</v>
      </c>
      <c r="O27" s="1" t="str">
        <f>IF(M27&lt;3,3-M27,"No aplica")</f>
        <v>No aplica</v>
      </c>
    </row>
    <row r="28" spans="1:15">
      <c r="A28" s="25" t="s">
        <v>58</v>
      </c>
      <c r="B28" s="26"/>
      <c r="C28" s="13" t="s">
        <v>59</v>
      </c>
      <c r="D28" s="14"/>
      <c r="E28" s="5">
        <v>1.5</v>
      </c>
      <c r="F28" s="1">
        <f t="shared" si="0"/>
        <v>0.30000000000000004</v>
      </c>
      <c r="G28" s="1">
        <v>4.5</v>
      </c>
      <c r="H28" s="1">
        <v>5</v>
      </c>
      <c r="I28" s="1">
        <v>5</v>
      </c>
      <c r="J28" s="5">
        <f>AVERAGE(G28:I28)*0.3</f>
        <v>1.45</v>
      </c>
      <c r="K28" s="1">
        <v>0.5</v>
      </c>
      <c r="L28" s="6">
        <f>K28*0.5</f>
        <v>0.25</v>
      </c>
      <c r="M28" s="6">
        <f>F28+J28+L28</f>
        <v>2</v>
      </c>
      <c r="N28" s="6">
        <f>INT(M28*10)/10+IF(MOD(M28*10,1)&gt;=0.5,0.1,0)</f>
        <v>2</v>
      </c>
      <c r="O28" s="1">
        <f>IF(M28&lt;3,3-M28,"No aplica")</f>
        <v>1</v>
      </c>
    </row>
    <row r="29" spans="1:15">
      <c r="A29" s="27" t="s">
        <v>60</v>
      </c>
      <c r="B29" s="27"/>
      <c r="C29" s="13" t="s">
        <v>61</v>
      </c>
      <c r="D29" s="14"/>
      <c r="E29" s="1">
        <v>3.3</v>
      </c>
      <c r="F29" s="1">
        <f t="shared" si="0"/>
        <v>0.66</v>
      </c>
      <c r="G29" s="1">
        <v>5</v>
      </c>
      <c r="H29" s="1">
        <v>4.8</v>
      </c>
      <c r="I29" s="1">
        <v>5</v>
      </c>
      <c r="J29" s="5">
        <f>AVERAGE(G29:I29)*0.3</f>
        <v>1.48</v>
      </c>
      <c r="K29" s="1">
        <v>4.9000000000000004</v>
      </c>
      <c r="L29" s="6">
        <f>K29*0.5</f>
        <v>2.4500000000000002</v>
      </c>
      <c r="M29" s="6">
        <f>F29+J29+L29</f>
        <v>4.59</v>
      </c>
      <c r="N29" s="6">
        <f>INT(M29*10)/10+IF(MOD(M29*10,1)&gt;=0.5,0.1,0)</f>
        <v>4.5999999999999996</v>
      </c>
      <c r="O29" s="1" t="str">
        <f>IF(M29&lt;3,3-M29,"No aplica")</f>
        <v>No aplica</v>
      </c>
    </row>
  </sheetData>
  <autoFilter ref="A7:O7" xr:uid="{6B0A7A39-371B-4F52-A112-ED3EECAB9F9E}">
    <filterColumn colId="0" showButton="0"/>
    <filterColumn colId="2" showButton="0"/>
    <sortState xmlns:xlrd2="http://schemas.microsoft.com/office/spreadsheetml/2017/richdata2" ref="A8:O29">
      <sortCondition ref="C7"/>
    </sortState>
  </autoFilter>
  <mergeCells count="34">
    <mergeCell ref="A1:B1"/>
    <mergeCell ref="C1:I1"/>
    <mergeCell ref="A2:B2"/>
    <mergeCell ref="C2:I2"/>
    <mergeCell ref="A3:B3"/>
    <mergeCell ref="C3:I3"/>
    <mergeCell ref="A4:B4"/>
    <mergeCell ref="C4:I4"/>
    <mergeCell ref="A6:D6"/>
    <mergeCell ref="G6:I6"/>
    <mergeCell ref="A7:B7"/>
    <mergeCell ref="C7:D7"/>
    <mergeCell ref="A8:B8"/>
    <mergeCell ref="A9:B9"/>
    <mergeCell ref="A10:B10"/>
    <mergeCell ref="A11:B11"/>
    <mergeCell ref="A12:B12"/>
    <mergeCell ref="A24:B24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5:B25"/>
    <mergeCell ref="A26:B26"/>
    <mergeCell ref="A27:B27"/>
    <mergeCell ref="A28:B28"/>
    <mergeCell ref="A29:B29"/>
  </mergeCells>
  <conditionalFormatting sqref="E8:E28">
    <cfRule type="expression" dxfId="7" priority="7">
      <formula>E8&lt;3</formula>
    </cfRule>
    <cfRule type="expression" dxfId="6" priority="8">
      <formula>E8&gt;=3</formula>
    </cfRule>
  </conditionalFormatting>
  <conditionalFormatting sqref="G8:I28 K8:K28 M8:M29">
    <cfRule type="expression" dxfId="5" priority="11">
      <formula>G8&gt;=3</formula>
    </cfRule>
    <cfRule type="expression" dxfId="4" priority="12">
      <formula>G8&lt;3</formula>
    </cfRule>
  </conditionalFormatting>
  <conditionalFormatting sqref="E29">
    <cfRule type="expression" dxfId="3" priority="1">
      <formula>E29&lt;3</formula>
    </cfRule>
    <cfRule type="expression" dxfId="2" priority="2">
      <formula>E29&gt;=3</formula>
    </cfRule>
  </conditionalFormatting>
  <conditionalFormatting sqref="G29:I29 K29">
    <cfRule type="expression" dxfId="1" priority="5">
      <formula>G29&gt;=3</formula>
    </cfRule>
    <cfRule type="expression" dxfId="0" priority="6">
      <formula>G29&lt;3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Mauricio Valoyes Porras</cp:lastModifiedBy>
  <cp:revision/>
  <dcterms:created xsi:type="dcterms:W3CDTF">2025-06-18T04:01:52Z</dcterms:created>
  <dcterms:modified xsi:type="dcterms:W3CDTF">2026-09-07T22:49:19Z</dcterms:modified>
  <cp:category/>
  <cp:contentStatus/>
</cp:coreProperties>
</file>